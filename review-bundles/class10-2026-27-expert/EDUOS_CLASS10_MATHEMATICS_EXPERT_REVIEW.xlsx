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 sheetId="1" state="visible" r:id="rId1"/>
    <sheet xmlns:r="http://schemas.openxmlformats.org/officeDocument/2006/relationships" name="Summary" sheetId="2" state="visible" r:id="rId2"/>
  </sheets>
  <definedNames>
    <definedName name="_xlnm._FilterDatabase" localSheetId="0" hidden="1">'Review'!$A$1:$U$236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b val="1"/>
      <sz val="13"/>
    </font>
    <font>
      <name val="Arial"/>
      <b val="1"/>
    </font>
  </fonts>
  <fills count="5">
    <fill>
      <patternFill/>
    </fill>
    <fill>
      <patternFill patternType="gray125"/>
    </fill>
    <fill>
      <patternFill patternType="solid">
        <fgColor rgb="001F3864"/>
      </patternFill>
    </fill>
    <fill>
      <patternFill patternType="solid">
        <fgColor rgb="00F2F2F2"/>
      </patternFill>
    </fill>
    <fill>
      <patternFill patternType="solid">
        <fgColor rgb="00C6E0B4"/>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wrapText="1"/>
    </xf>
    <xf numFmtId="0" fontId="2" fillId="4" borderId="0" applyAlignment="1" applyProtection="1" pivotButton="0" quotePrefix="0" xfId="0">
      <alignment vertical="top" wrapText="1"/>
      <protection locked="0" hidden="0"/>
    </xf>
    <xf numFmtId="0" fontId="3" fillId="0" borderId="0" pivotButton="0" quotePrefix="0" xfId="0"/>
    <xf numFmtId="0" fontId="2"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3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3" customWidth="1" min="2" max="2"/>
    <col width="24" customWidth="1" min="3" max="3"/>
    <col width="24" customWidth="1" min="4" max="4"/>
    <col width="30" customWidth="1" min="5" max="5"/>
    <col width="40" customWidth="1" min="6" max="6"/>
    <col width="26" customWidth="1" min="7" max="7"/>
    <col width="60" customWidth="1" min="8" max="8"/>
    <col width="34" customWidth="1" min="9" max="9"/>
    <col width="24" customWidth="1" min="10" max="10"/>
    <col width="60" customWidth="1" min="11" max="11"/>
    <col width="10" customWidth="1" min="12" max="12"/>
    <col width="30" customWidth="1" min="13" max="13"/>
    <col width="22" customWidth="1" min="14" max="14"/>
    <col width="16" customWidth="1" min="15" max="15"/>
    <col width="40" customWidth="1" min="16" max="16"/>
    <col width="26" customWidth="1" min="17" max="17"/>
    <col width="40" customWidth="1" min="18" max="18"/>
    <col width="20" customWidth="1" min="19" max="19"/>
    <col width="22" customWidth="1" min="20" max="20"/>
    <col width="14" customWidth="1" min="21" max="21"/>
  </cols>
  <sheetData>
    <row r="1">
      <c r="A1" s="1" t="inlineStr">
        <is>
          <t>Question ID</t>
        </is>
      </c>
      <c r="B1" s="1" t="inlineStr">
        <is>
          <t>Subject</t>
        </is>
      </c>
      <c r="C1" s="1" t="inlineStr">
        <is>
          <t>Unit</t>
        </is>
      </c>
      <c r="D1" s="1" t="inlineStr">
        <is>
          <t>Chapter</t>
        </is>
      </c>
      <c r="E1" s="1" t="inlineStr">
        <is>
          <t>Official requirement</t>
        </is>
      </c>
      <c r="F1" s="1" t="inlineStr">
        <is>
          <t>Outcome</t>
        </is>
      </c>
      <c r="G1" s="1" t="inlineStr">
        <is>
          <t>Atom/concept</t>
        </is>
      </c>
      <c r="H1" s="1" t="inlineStr">
        <is>
          <t>Question</t>
        </is>
      </c>
      <c r="I1" s="1" t="inlineStr">
        <is>
          <t>Options</t>
        </is>
      </c>
      <c r="J1" s="1" t="inlineStr">
        <is>
          <t>Correct answer</t>
        </is>
      </c>
      <c r="K1" s="1" t="inlineStr">
        <is>
          <t>Explanation</t>
        </is>
      </c>
      <c r="L1" s="1" t="inlineStr">
        <is>
          <t>Difficulty</t>
        </is>
      </c>
      <c r="M1" s="1" t="inlineStr">
        <is>
          <t>Source reference</t>
        </is>
      </c>
      <c r="N1" s="1" t="inlineStr">
        <is>
          <t>Current status</t>
        </is>
      </c>
      <c r="O1" s="1" t="inlineStr">
        <is>
          <t>Expert decision</t>
        </is>
      </c>
      <c r="P1" s="1" t="inlineStr">
        <is>
          <t>Corrected question</t>
        </is>
      </c>
      <c r="Q1" s="1" t="inlineStr">
        <is>
          <t>Corrected answer</t>
        </is>
      </c>
      <c r="R1" s="1" t="inlineStr">
        <is>
          <t>Expert comments</t>
        </is>
      </c>
      <c r="S1" s="1" t="inlineStr">
        <is>
          <t>Reviewer name</t>
        </is>
      </c>
      <c r="T1" s="1" t="inlineStr">
        <is>
          <t>Qualification</t>
        </is>
      </c>
      <c r="U1" s="1" t="inlineStr">
        <is>
          <t>Review date</t>
        </is>
      </c>
    </row>
    <row r="2" ht="46" customHeight="1">
      <c r="A2" s="2" t="inlineStr">
        <is>
          <t>C10-2627-MATH-REQ001-DIAG-001</t>
        </is>
      </c>
      <c r="B2" s="2" t="inlineStr">
        <is>
          <t>Mathematics</t>
        </is>
      </c>
      <c r="C2" s="2" t="inlineStr">
        <is>
          <t>Number Systems</t>
        </is>
      </c>
      <c r="D2" s="2" t="inlineStr">
        <is>
          <t>Real Numbers</t>
        </is>
      </c>
      <c r="E2" s="2" t="inlineStr">
        <is>
          <t>REQ_MATH_2026_001, REQ_MATH_2026_002, REQ_MATH_2026_003, REQ_MATH_2026_004</t>
        </is>
      </c>
      <c r="F2" s="2" t="inlineStr">
        <is>
          <t>LO_M1.1.1 — Express composite numbers as products of prime factors and calculate HCF and LCM using prime factorization.</t>
        </is>
      </c>
      <c r="G2" s="2" t="inlineStr">
        <is>
          <t>Fundamental Theorem of Arithmetic</t>
        </is>
      </c>
      <c r="H2" s="2" t="inlineStr">
        <is>
          <t>Using prime factorisation, find the HCF of 96 and 404.</t>
        </is>
      </c>
      <c r="I2" s="2" t="inlineStr">
        <is>
          <t>A. 12
B. 4
C. 2
D. 8</t>
        </is>
      </c>
      <c r="J2" s="2" t="inlineStr">
        <is>
          <t>4</t>
        </is>
      </c>
      <c r="K2" s="2" t="inlineStr">
        <is>
          <t>96 = 2^5 x 3 and 404 = 2^2 x 101. The only common prime power is 2^2, so the HCF is 4.</t>
        </is>
      </c>
      <c r="L2" s="2" t="n">
        <v>2</v>
      </c>
      <c r="M2" s="2" t="inlineStr">
        <is>
          <t>Maths_SecP1X_2026-27.pdf Page 2</t>
        </is>
      </c>
      <c r="N2" s="2" t="inlineStr">
        <is>
          <t>draft / unverified / REVIEW_PENDING</t>
        </is>
      </c>
      <c r="O2" s="3" t="inlineStr"/>
      <c r="P2" s="3" t="inlineStr"/>
      <c r="Q2" s="3" t="inlineStr"/>
      <c r="R2" s="3" t="inlineStr"/>
      <c r="S2" s="3" t="inlineStr"/>
      <c r="T2" s="3" t="inlineStr"/>
      <c r="U2" s="3" t="inlineStr"/>
    </row>
    <row r="3" ht="46" customHeight="1">
      <c r="A3" s="2" t="inlineStr">
        <is>
          <t>C10-2627-MATH-REQ001-DIAG-002</t>
        </is>
      </c>
      <c r="B3" s="2" t="inlineStr">
        <is>
          <t>Mathematics</t>
        </is>
      </c>
      <c r="C3" s="2" t="inlineStr">
        <is>
          <t>Number Systems</t>
        </is>
      </c>
      <c r="D3" s="2" t="inlineStr">
        <is>
          <t>Real Numbers</t>
        </is>
      </c>
      <c r="E3" s="2" t="inlineStr">
        <is>
          <t>REQ_MATH_2026_001, REQ_MATH_2026_002, REQ_MATH_2026_003, REQ_MATH_2026_004</t>
        </is>
      </c>
      <c r="F3" s="2" t="inlineStr">
        <is>
          <t>LO_M1.1.1 — Express composite numbers as products of prime factors and calculate HCF and LCM using prime factorization.</t>
        </is>
      </c>
      <c r="G3" s="2" t="inlineStr">
        <is>
          <t>Fundamental Theorem of Arithmetic</t>
        </is>
      </c>
      <c r="H3" s="2" t="inlineStr">
        <is>
          <t>Using prime factorisation, find the LCM of 72 and 120.</t>
        </is>
      </c>
      <c r="I3" s="2" t="inlineStr">
        <is>
          <t>(constructed response)</t>
        </is>
      </c>
      <c r="J3" s="2" t="inlineStr">
        <is>
          <t>360</t>
        </is>
      </c>
      <c r="K3" s="2" t="inlineStr">
        <is>
          <t>72 = 2^3 x 3^2 and 120 = 2^3 x 3 x 5. Taking the highest power of each prime gives 2^3 x 3^2 x 5 = 360.</t>
        </is>
      </c>
      <c r="L3" s="2" t="n">
        <v>2</v>
      </c>
      <c r="M3" s="2" t="inlineStr">
        <is>
          <t>Maths_SecP1X_2026-27.pdf Page 2</t>
        </is>
      </c>
      <c r="N3" s="2" t="inlineStr">
        <is>
          <t>draft / unverified / REVIEW_PENDING</t>
        </is>
      </c>
      <c r="O3" s="3" t="inlineStr"/>
      <c r="P3" s="3" t="inlineStr"/>
      <c r="Q3" s="3" t="inlineStr"/>
      <c r="R3" s="3" t="inlineStr"/>
      <c r="S3" s="3" t="inlineStr"/>
      <c r="T3" s="3" t="inlineStr"/>
      <c r="U3" s="3" t="inlineStr"/>
    </row>
    <row r="4" ht="46" customHeight="1">
      <c r="A4" s="2" t="inlineStr">
        <is>
          <t>C10-2627-MATH-REQ001-DIAG-003</t>
        </is>
      </c>
      <c r="B4" s="2" t="inlineStr">
        <is>
          <t>Mathematics</t>
        </is>
      </c>
      <c r="C4" s="2" t="inlineStr">
        <is>
          <t>Number Systems</t>
        </is>
      </c>
      <c r="D4" s="2" t="inlineStr">
        <is>
          <t>Real Numbers</t>
        </is>
      </c>
      <c r="E4" s="2" t="inlineStr">
        <is>
          <t>REQ_MATH_2026_001, REQ_MATH_2026_002, REQ_MATH_2026_003, REQ_MATH_2026_004</t>
        </is>
      </c>
      <c r="F4" s="2" t="inlineStr">
        <is>
          <t>LO_M1.1.1 — Express composite numbers as products of prime factors and calculate HCF and LCM using prime factorization.</t>
        </is>
      </c>
      <c r="G4" s="2" t="inlineStr">
        <is>
          <t>Fundamental Theorem of Arithmetic</t>
        </is>
      </c>
      <c r="H4" s="2" t="inlineStr">
        <is>
          <t>The HCF of 306 and 657 is 9. Find their LCM without factorising again.</t>
        </is>
      </c>
      <c r="I4" s="2" t="inlineStr">
        <is>
          <t>(constructed response)</t>
        </is>
      </c>
      <c r="J4" s="2" t="inlineStr">
        <is>
          <t>22338</t>
        </is>
      </c>
      <c r="K4" s="2" t="inlineStr">
        <is>
          <t>For two positive integers, HCF x LCM = product of the numbers, so LCM = (306 x 657) / 9 = 22338.</t>
        </is>
      </c>
      <c r="L4" s="2" t="n">
        <v>3</v>
      </c>
      <c r="M4" s="2" t="inlineStr">
        <is>
          <t>Maths_SecP1X_2026-27.pdf Page 2</t>
        </is>
      </c>
      <c r="N4" s="2" t="inlineStr">
        <is>
          <t>draft / unverified / REVIEW_PENDING</t>
        </is>
      </c>
      <c r="O4" s="3" t="inlineStr"/>
      <c r="P4" s="3" t="inlineStr"/>
      <c r="Q4" s="3" t="inlineStr"/>
      <c r="R4" s="3" t="inlineStr"/>
      <c r="S4" s="3" t="inlineStr"/>
      <c r="T4" s="3" t="inlineStr"/>
      <c r="U4" s="3" t="inlineStr"/>
    </row>
    <row r="5" ht="46" customHeight="1">
      <c r="A5" s="2" t="inlineStr">
        <is>
          <t>C10-2627-MATH-REQ001-DIAG-004</t>
        </is>
      </c>
      <c r="B5" s="2" t="inlineStr">
        <is>
          <t>Mathematics</t>
        </is>
      </c>
      <c r="C5" s="2" t="inlineStr">
        <is>
          <t>Number Systems</t>
        </is>
      </c>
      <c r="D5" s="2" t="inlineStr">
        <is>
          <t>Real Numbers</t>
        </is>
      </c>
      <c r="E5" s="2" t="inlineStr">
        <is>
          <t>REQ_MATH_2026_001, REQ_MATH_2026_002, REQ_MATH_2026_003, REQ_MATH_2026_004</t>
        </is>
      </c>
      <c r="F5" s="2" t="inlineStr">
        <is>
          <t>LO_M1.1.1 — Express composite numbers as products of prime factors and calculate HCF and LCM using prime factorization.</t>
        </is>
      </c>
      <c r="G5" s="2" t="inlineStr">
        <is>
          <t>Fundamental Theorem of Arithmetic</t>
        </is>
      </c>
      <c r="H5" s="2" t="inlineStr">
        <is>
          <t>A florist has 84 roses and 126 lilies. She wants to make identical bunches, each bunch holding only roses or only lilies, with every bunch containing the same number of flowers and no flower left over.
What is the greatest number of flowers she can put in one bunch?</t>
        </is>
      </c>
      <c r="I5" s="2" t="inlineStr">
        <is>
          <t>(constructed response)</t>
        </is>
      </c>
      <c r="J5" s="2" t="inlineStr">
        <is>
          <t>42</t>
        </is>
      </c>
      <c r="K5" s="2" t="inlineStr">
        <is>
          <t>The bunch size must divide both 84 and 126, so it is their HCF. 84 = 2^2 x 3 x 7 and 126 = 2 x 3^2 x 7, giving HCF = 2 x 3 x 7 = 42.</t>
        </is>
      </c>
      <c r="L5" s="2" t="n">
        <v>3</v>
      </c>
      <c r="M5" s="2" t="inlineStr">
        <is>
          <t>Maths_SecP1X_2026-27.pdf Page 2</t>
        </is>
      </c>
      <c r="N5" s="2" t="inlineStr">
        <is>
          <t>draft / unverified / REVIEW_PENDING</t>
        </is>
      </c>
      <c r="O5" s="3" t="inlineStr"/>
      <c r="P5" s="3" t="inlineStr"/>
      <c r="Q5" s="3" t="inlineStr"/>
      <c r="R5" s="3" t="inlineStr"/>
      <c r="S5" s="3" t="inlineStr"/>
      <c r="T5" s="3" t="inlineStr"/>
      <c r="U5" s="3" t="inlineStr"/>
    </row>
    <row r="6" ht="46" customHeight="1">
      <c r="A6" s="2" t="inlineStr">
        <is>
          <t>C10-2627-MATH-REQ001-DIAG-005</t>
        </is>
      </c>
      <c r="B6" s="2" t="inlineStr">
        <is>
          <t>Mathematics</t>
        </is>
      </c>
      <c r="C6" s="2" t="inlineStr">
        <is>
          <t>Number Systems</t>
        </is>
      </c>
      <c r="D6" s="2" t="inlineStr">
        <is>
          <t>Real Numbers</t>
        </is>
      </c>
      <c r="E6" s="2" t="inlineStr">
        <is>
          <t>REQ_MATH_2026_001, REQ_MATH_2026_002, REQ_MATH_2026_003, REQ_MATH_2026_004</t>
        </is>
      </c>
      <c r="F6" s="2" t="inlineStr">
        <is>
          <t>LO_M1.1.1 — Express composite numbers as products of prime factors and calculate HCF and LCM using prime factorization.</t>
        </is>
      </c>
      <c r="G6" s="2" t="inlineStr">
        <is>
          <t>Fundamental Theorem of Arithmetic</t>
        </is>
      </c>
      <c r="H6" s="2" t="inlineStr">
        <is>
          <t>Assertion (A): For any two positive integers a and b, HCF(a, b) x LCM(a, b) = a x b.
Reason (R): Every composite number has a unique prime factorisation apart from the order of the factors.
Choose the correct option.</t>
        </is>
      </c>
      <c r="I6" s="2" t="inlineStr">
        <is>
          <t>A. Both A and R are true and R is the correct explanation of A.
B. Both A and R are true but R is not the correct explanation of A.
C. A is true but R is false.
D. A is false but R is true.</t>
        </is>
      </c>
      <c r="J6" s="2" t="inlineStr">
        <is>
          <t>Both A and R are true and R is the correct explanation of A.</t>
        </is>
      </c>
      <c r="K6" s="2" t="inlineStr">
        <is>
          <t>Uniqueness of factorisation lets each prime be split between the HCF (lowest power) and the LCM (highest power), and the two powers add back to the power in the product.</t>
        </is>
      </c>
      <c r="L6" s="2" t="n">
        <v>2</v>
      </c>
      <c r="M6" s="2" t="inlineStr">
        <is>
          <t>Maths_SecP1X_2026-27.pdf Page 2</t>
        </is>
      </c>
      <c r="N6" s="2" t="inlineStr">
        <is>
          <t>draft / unverified / REVIEW_PENDING</t>
        </is>
      </c>
      <c r="O6" s="3" t="inlineStr"/>
      <c r="P6" s="3" t="inlineStr"/>
      <c r="Q6" s="3" t="inlineStr"/>
      <c r="R6" s="3" t="inlineStr"/>
      <c r="S6" s="3" t="inlineStr"/>
      <c r="T6" s="3" t="inlineStr"/>
      <c r="U6" s="3" t="inlineStr"/>
    </row>
    <row r="7" ht="46" customHeight="1">
      <c r="A7" s="2" t="inlineStr">
        <is>
          <t>C10-2627-MATH-REQ001-DIAG-006</t>
        </is>
      </c>
      <c r="B7" s="2" t="inlineStr">
        <is>
          <t>Mathematics</t>
        </is>
      </c>
      <c r="C7" s="2" t="inlineStr">
        <is>
          <t>Number Systems</t>
        </is>
      </c>
      <c r="D7" s="2" t="inlineStr">
        <is>
          <t>Real Numbers</t>
        </is>
      </c>
      <c r="E7" s="2" t="inlineStr">
        <is>
          <t>REQ_MATH_2026_001, REQ_MATH_2026_002, REQ_MATH_2026_003, REQ_MATH_2026_004</t>
        </is>
      </c>
      <c r="F7" s="2" t="inlineStr">
        <is>
          <t>LO_M1.1.1 — Express composite numbers as products of prime factors and calculate HCF and LCM using prime factorization.</t>
        </is>
      </c>
      <c r="G7" s="2" t="inlineStr">
        <is>
          <t>Fundamental Theorem of Arithmetic</t>
        </is>
      </c>
      <c r="H7" s="2" t="inlineStr">
        <is>
          <t>Prime factorisations:
| Number | Factorisation |
| A | 2^3 x 3 x 5 |
| B | 2^2 x 3^2 x 5 |
| C | 2^2 x 3 x 5^2 |
Write the HCF and the LCM of A, B and C.</t>
        </is>
      </c>
      <c r="I7" s="2" t="inlineStr">
        <is>
          <t>(constructed response)</t>
        </is>
      </c>
      <c r="J7" s="2" t="inlineStr">
        <is>
          <t>HCF = 60, LCM = 1800</t>
        </is>
      </c>
      <c r="K7" s="2" t="inlineStr">
        <is>
          <t>Lowest common powers give 2^2 x 3 x 5 = 60. Highest powers give 2^3 x 3^2 x 5^2 = 1800.</t>
        </is>
      </c>
      <c r="L7" s="2" t="n">
        <v>3</v>
      </c>
      <c r="M7" s="2" t="inlineStr">
        <is>
          <t>Maths_SecP1X_2026-27.pdf Page 2</t>
        </is>
      </c>
      <c r="N7" s="2" t="inlineStr">
        <is>
          <t>draft / unverified / REVIEW_PENDING</t>
        </is>
      </c>
      <c r="O7" s="3" t="inlineStr"/>
      <c r="P7" s="3" t="inlineStr"/>
      <c r="Q7" s="3" t="inlineStr"/>
      <c r="R7" s="3" t="inlineStr"/>
      <c r="S7" s="3" t="inlineStr"/>
      <c r="T7" s="3" t="inlineStr"/>
      <c r="U7" s="3" t="inlineStr"/>
    </row>
    <row r="8" ht="46" customHeight="1">
      <c r="A8" s="2" t="inlineStr">
        <is>
          <t>C10-2627-MATH-REQ001-DIAG-007</t>
        </is>
      </c>
      <c r="B8" s="2" t="inlineStr">
        <is>
          <t>Mathematics</t>
        </is>
      </c>
      <c r="C8" s="2" t="inlineStr">
        <is>
          <t>Number Systems</t>
        </is>
      </c>
      <c r="D8" s="2" t="inlineStr">
        <is>
          <t>Real Numbers</t>
        </is>
      </c>
      <c r="E8" s="2" t="inlineStr">
        <is>
          <t>REQ_MATH_2026_001, REQ_MATH_2026_002, REQ_MATH_2026_003, REQ_MATH_2026_004</t>
        </is>
      </c>
      <c r="F8" s="2" t="inlineStr">
        <is>
          <t>LO_M1.1.1 — Express composite numbers as products of prime factors and calculate HCF and LCM using prime factorization.</t>
        </is>
      </c>
      <c r="G8" s="2" t="inlineStr">
        <is>
          <t>Fundamental Theorem of Arithmetic</t>
        </is>
      </c>
      <c r="H8" s="2" t="inlineStr">
        <is>
          <t>Two LED strips flash at intervals of 18 seconds and 24 seconds. They flash together at 7:00:00 pm. After how many seconds do they next flash together?</t>
        </is>
      </c>
      <c r="I8" s="2" t="inlineStr">
        <is>
          <t>(constructed response)</t>
        </is>
      </c>
      <c r="J8" s="2" t="inlineStr">
        <is>
          <t>72</t>
        </is>
      </c>
      <c r="K8" s="2" t="inlineStr">
        <is>
          <t>They coincide after a time that is a multiple of both intervals, so the answer is LCM(18, 24) = 72 seconds.</t>
        </is>
      </c>
      <c r="L8" s="2" t="n">
        <v>3</v>
      </c>
      <c r="M8" s="2" t="inlineStr">
        <is>
          <t>Maths_SecP1X_2026-27.pdf Page 2</t>
        </is>
      </c>
      <c r="N8" s="2" t="inlineStr">
        <is>
          <t>draft / unverified / REVIEW_PENDING</t>
        </is>
      </c>
      <c r="O8" s="3" t="inlineStr"/>
      <c r="P8" s="3" t="inlineStr"/>
      <c r="Q8" s="3" t="inlineStr"/>
      <c r="R8" s="3" t="inlineStr"/>
      <c r="S8" s="3" t="inlineStr"/>
      <c r="T8" s="3" t="inlineStr"/>
      <c r="U8" s="3" t="inlineStr"/>
    </row>
    <row r="9" ht="46" customHeight="1">
      <c r="A9" s="2" t="inlineStr">
        <is>
          <t>C10-2627-MATH-REQ001-REASS-001</t>
        </is>
      </c>
      <c r="B9" s="2" t="inlineStr">
        <is>
          <t>Mathematics</t>
        </is>
      </c>
      <c r="C9" s="2" t="inlineStr">
        <is>
          <t>Number Systems</t>
        </is>
      </c>
      <c r="D9" s="2" t="inlineStr">
        <is>
          <t>Real Numbers</t>
        </is>
      </c>
      <c r="E9" s="2" t="inlineStr">
        <is>
          <t>REQ_MATH_2026_001, REQ_MATH_2026_002, REQ_MATH_2026_003, REQ_MATH_2026_004</t>
        </is>
      </c>
      <c r="F9" s="2" t="inlineStr">
        <is>
          <t>LO_M1.1.1 — Express composite numbers as products of prime factors and calculate HCF and LCM using prime factorization.</t>
        </is>
      </c>
      <c r="G9" s="2" t="inlineStr">
        <is>
          <t>Fundamental Theorem of Arithmetic</t>
        </is>
      </c>
      <c r="H9" s="2" t="inlineStr">
        <is>
          <t>Express 3825 as a product of its prime factors.</t>
        </is>
      </c>
      <c r="I9" s="2" t="inlineStr">
        <is>
          <t>(constructed response)</t>
        </is>
      </c>
      <c r="J9" s="2" t="inlineStr">
        <is>
          <t>3^2 x 5^2 x 17</t>
        </is>
      </c>
      <c r="K9" s="2" t="inlineStr">
        <is>
          <t>3825 / 3 = 1275, / 3 = 425, / 5 = 85, / 5 = 17, which is prime. Hence 3825 = 3^2 x 5^2 x 17.</t>
        </is>
      </c>
      <c r="L9" s="2" t="n">
        <v>2</v>
      </c>
      <c r="M9" s="2" t="inlineStr">
        <is>
          <t>Maths_SecP1X_2026-27.pdf Page 2</t>
        </is>
      </c>
      <c r="N9" s="2" t="inlineStr">
        <is>
          <t>draft / unverified / REVIEW_PENDING</t>
        </is>
      </c>
      <c r="O9" s="3" t="inlineStr"/>
      <c r="P9" s="3" t="inlineStr"/>
      <c r="Q9" s="3" t="inlineStr"/>
      <c r="R9" s="3" t="inlineStr"/>
      <c r="S9" s="3" t="inlineStr"/>
      <c r="T9" s="3" t="inlineStr"/>
      <c r="U9" s="3" t="inlineStr"/>
    </row>
    <row r="10" ht="46" customHeight="1">
      <c r="A10" s="2" t="inlineStr">
        <is>
          <t>C10-2627-MATH-REQ001-REASS-002</t>
        </is>
      </c>
      <c r="B10" s="2" t="inlineStr">
        <is>
          <t>Mathematics</t>
        </is>
      </c>
      <c r="C10" s="2" t="inlineStr">
        <is>
          <t>Number Systems</t>
        </is>
      </c>
      <c r="D10" s="2" t="inlineStr">
        <is>
          <t>Real Numbers</t>
        </is>
      </c>
      <c r="E10" s="2" t="inlineStr">
        <is>
          <t>REQ_MATH_2026_001, REQ_MATH_2026_002, REQ_MATH_2026_003, REQ_MATH_2026_004</t>
        </is>
      </c>
      <c r="F10" s="2" t="inlineStr">
        <is>
          <t>LO_M1.1.1 — Express composite numbers as products of prime factors and calculate HCF and LCM using prime factorization.</t>
        </is>
      </c>
      <c r="G10" s="2" t="inlineStr">
        <is>
          <t>Fundamental Theorem of Arithmetic</t>
        </is>
      </c>
      <c r="H10" s="2" t="inlineStr">
        <is>
          <t>Find the LCM of 12, 15 and 21.</t>
        </is>
      </c>
      <c r="I10" s="2" t="inlineStr">
        <is>
          <t>A. 630
B. 105
C. 420
D. 210</t>
        </is>
      </c>
      <c r="J10" s="2" t="inlineStr">
        <is>
          <t>420</t>
        </is>
      </c>
      <c r="K10" s="2" t="inlineStr">
        <is>
          <t>12 = 2^2 x 3, 15 = 3 x 5, 21 = 3 x 7. Highest powers give 2^2 x 3 x 5 x 7 = 420.</t>
        </is>
      </c>
      <c r="L10" s="2" t="n">
        <v>2</v>
      </c>
      <c r="M10" s="2" t="inlineStr">
        <is>
          <t>Maths_SecP1X_2026-27.pdf Page 2</t>
        </is>
      </c>
      <c r="N10" s="2" t="inlineStr">
        <is>
          <t>draft / unverified / REVIEW_PENDING</t>
        </is>
      </c>
      <c r="O10" s="3" t="inlineStr"/>
      <c r="P10" s="3" t="inlineStr"/>
      <c r="Q10" s="3" t="inlineStr"/>
      <c r="R10" s="3" t="inlineStr"/>
      <c r="S10" s="3" t="inlineStr"/>
      <c r="T10" s="3" t="inlineStr"/>
      <c r="U10" s="3" t="inlineStr"/>
    </row>
    <row r="11" ht="46" customHeight="1">
      <c r="A11" s="2" t="inlineStr">
        <is>
          <t>C10-2627-MATH-REQ001-REASS-003</t>
        </is>
      </c>
      <c r="B11" s="2" t="inlineStr">
        <is>
          <t>Mathematics</t>
        </is>
      </c>
      <c r="C11" s="2" t="inlineStr">
        <is>
          <t>Number Systems</t>
        </is>
      </c>
      <c r="D11" s="2" t="inlineStr">
        <is>
          <t>Real Numbers</t>
        </is>
      </c>
      <c r="E11" s="2" t="inlineStr">
        <is>
          <t>REQ_MATH_2026_001, REQ_MATH_2026_002, REQ_MATH_2026_003, REQ_MATH_2026_004</t>
        </is>
      </c>
      <c r="F11" s="2" t="inlineStr">
        <is>
          <t>LO_M1.1.1 — Express composite numbers as products of prime factors and calculate HCF and LCM using prime factorization.</t>
        </is>
      </c>
      <c r="G11" s="2" t="inlineStr">
        <is>
          <t>Fundamental Theorem of Arithmetic</t>
        </is>
      </c>
      <c r="H11" s="2" t="inlineStr">
        <is>
          <t>Two athletes start together at the starting line of a circular track. One completes a lap in 250 seconds and the other in 300 seconds, and both keep a steady pace.
After how many minutes do they stand together at the starting line again?</t>
        </is>
      </c>
      <c r="I11" s="2" t="inlineStr">
        <is>
          <t>(constructed response)</t>
        </is>
      </c>
      <c r="J11" s="2" t="inlineStr">
        <is>
          <t>25 minutes</t>
        </is>
      </c>
      <c r="K11" s="2" t="inlineStr">
        <is>
          <t>They meet after LCM(250, 300) = 1500 seconds, which is 25 minutes.</t>
        </is>
      </c>
      <c r="L11" s="2" t="n">
        <v>3</v>
      </c>
      <c r="M11" s="2" t="inlineStr">
        <is>
          <t>Maths_SecP1X_2026-27.pdf Page 2</t>
        </is>
      </c>
      <c r="N11" s="2" t="inlineStr">
        <is>
          <t>draft / unverified / REVIEW_PENDING</t>
        </is>
      </c>
      <c r="O11" s="3" t="inlineStr"/>
      <c r="P11" s="3" t="inlineStr"/>
      <c r="Q11" s="3" t="inlineStr"/>
      <c r="R11" s="3" t="inlineStr"/>
      <c r="S11" s="3" t="inlineStr"/>
      <c r="T11" s="3" t="inlineStr"/>
      <c r="U11" s="3" t="inlineStr"/>
    </row>
    <row r="12" ht="46" customHeight="1">
      <c r="A12" s="2" t="inlineStr">
        <is>
          <t>C10-2627-MATH-REQ001-REASS-004</t>
        </is>
      </c>
      <c r="B12" s="2" t="inlineStr">
        <is>
          <t>Mathematics</t>
        </is>
      </c>
      <c r="C12" s="2" t="inlineStr">
        <is>
          <t>Number Systems</t>
        </is>
      </c>
      <c r="D12" s="2" t="inlineStr">
        <is>
          <t>Real Numbers</t>
        </is>
      </c>
      <c r="E12" s="2" t="inlineStr">
        <is>
          <t>REQ_MATH_2026_001, REQ_MATH_2026_002, REQ_MATH_2026_003, REQ_MATH_2026_004</t>
        </is>
      </c>
      <c r="F12" s="2" t="inlineStr">
        <is>
          <t>LO_M1.1.1 — Express composite numbers as products of prime factors and calculate HCF and LCM using prime factorization.</t>
        </is>
      </c>
      <c r="G12" s="2" t="inlineStr">
        <is>
          <t>Fundamental Theorem of Arithmetic</t>
        </is>
      </c>
      <c r="H12" s="2" t="inlineStr">
        <is>
          <t>What is the smallest positive number that is divisible by both 63 and 84?</t>
        </is>
      </c>
      <c r="I12" s="2" t="inlineStr">
        <is>
          <t>(constructed response)</t>
        </is>
      </c>
      <c r="J12" s="2" t="inlineStr">
        <is>
          <t>252</t>
        </is>
      </c>
      <c r="K12" s="2" t="inlineStr">
        <is>
          <t>The smallest such number is LCM(63, 84). 63 = 3^2 x 7 and 84 = 2^2 x 3 x 7, so the LCM is 2^2 x 3^2 x 7 = 252.</t>
        </is>
      </c>
      <c r="L12" s="2" t="n">
        <v>2</v>
      </c>
      <c r="M12" s="2" t="inlineStr">
        <is>
          <t>Maths_SecP1X_2026-27.pdf Page 2</t>
        </is>
      </c>
      <c r="N12" s="2" t="inlineStr">
        <is>
          <t>draft / unverified / REVIEW_PENDING</t>
        </is>
      </c>
      <c r="O12" s="3" t="inlineStr"/>
      <c r="P12" s="3" t="inlineStr"/>
      <c r="Q12" s="3" t="inlineStr"/>
      <c r="R12" s="3" t="inlineStr"/>
      <c r="S12" s="3" t="inlineStr"/>
      <c r="T12" s="3" t="inlineStr"/>
      <c r="U12" s="3" t="inlineStr"/>
    </row>
    <row r="13" ht="46" customHeight="1">
      <c r="A13" s="2" t="inlineStr">
        <is>
          <t>C10-2627-MATH-REQ001-REASS-005</t>
        </is>
      </c>
      <c r="B13" s="2" t="inlineStr">
        <is>
          <t>Mathematics</t>
        </is>
      </c>
      <c r="C13" s="2" t="inlineStr">
        <is>
          <t>Number Systems</t>
        </is>
      </c>
      <c r="D13" s="2" t="inlineStr">
        <is>
          <t>Real Numbers</t>
        </is>
      </c>
      <c r="E13" s="2" t="inlineStr">
        <is>
          <t>REQ_MATH_2026_001, REQ_MATH_2026_002, REQ_MATH_2026_003, REQ_MATH_2026_004</t>
        </is>
      </c>
      <c r="F13" s="2" t="inlineStr">
        <is>
          <t>LO_M1.1.1 — Express composite numbers as products of prime factors and calculate HCF and LCM using prime factorization.</t>
        </is>
      </c>
      <c r="G13" s="2" t="inlineStr">
        <is>
          <t>Fundamental Theorem of Arithmetic</t>
        </is>
      </c>
      <c r="H13" s="2" t="inlineStr">
        <is>
          <t>State whether the following is true or false, and justify in one line: If two positive integers p and q are co-prime, then LCM(p, q) = p x q.</t>
        </is>
      </c>
      <c r="I13" s="2" t="inlineStr">
        <is>
          <t>A. True
B. False</t>
        </is>
      </c>
      <c r="J13" s="2" t="inlineStr">
        <is>
          <t>True</t>
        </is>
      </c>
      <c r="K13" s="2" t="inlineStr">
        <is>
          <t>Co-prime means HCF = 1, and since HCF x LCM = pq, the LCM equals pq.</t>
        </is>
      </c>
      <c r="L13" s="2" t="n">
        <v>2</v>
      </c>
      <c r="M13" s="2" t="inlineStr">
        <is>
          <t>Maths_SecP1X_2026-27.pdf Page 2</t>
        </is>
      </c>
      <c r="N13" s="2" t="inlineStr">
        <is>
          <t>draft / unverified / REVIEW_PENDING</t>
        </is>
      </c>
      <c r="O13" s="3" t="inlineStr"/>
      <c r="P13" s="3" t="inlineStr"/>
      <c r="Q13" s="3" t="inlineStr"/>
      <c r="R13" s="3" t="inlineStr"/>
      <c r="S13" s="3" t="inlineStr"/>
      <c r="T13" s="3" t="inlineStr"/>
      <c r="U13" s="3" t="inlineStr"/>
    </row>
    <row r="14" ht="46" customHeight="1">
      <c r="A14" s="2" t="inlineStr">
        <is>
          <t>C10-2627-MATH-REQ001-REASS-006</t>
        </is>
      </c>
      <c r="B14" s="2" t="inlineStr">
        <is>
          <t>Mathematics</t>
        </is>
      </c>
      <c r="C14" s="2" t="inlineStr">
        <is>
          <t>Number Systems</t>
        </is>
      </c>
      <c r="D14" s="2" t="inlineStr">
        <is>
          <t>Real Numbers</t>
        </is>
      </c>
      <c r="E14" s="2" t="inlineStr">
        <is>
          <t>REQ_MATH_2026_001, REQ_MATH_2026_002, REQ_MATH_2026_003, REQ_MATH_2026_004</t>
        </is>
      </c>
      <c r="F14" s="2" t="inlineStr">
        <is>
          <t>LO_M1.1.1 — Express composite numbers as products of prime factors and calculate HCF and LCM using prime factorization.</t>
        </is>
      </c>
      <c r="G14" s="2" t="inlineStr">
        <is>
          <t>Fundamental Theorem of Arithmetic</t>
        </is>
      </c>
      <c r="H14" s="2" t="inlineStr">
        <is>
          <t>The LCM of two numbers is 1200 and their HCF is 20. One of the numbers is 80. Find the other number.</t>
        </is>
      </c>
      <c r="I14" s="2" t="inlineStr">
        <is>
          <t>(constructed response)</t>
        </is>
      </c>
      <c r="J14" s="2" t="inlineStr">
        <is>
          <t>300</t>
        </is>
      </c>
      <c r="K14" s="2" t="inlineStr">
        <is>
          <t>Using HCF x LCM = product of the numbers, the other number is (1200 x 20) / 80 = 300.</t>
        </is>
      </c>
      <c r="L14" s="2" t="n">
        <v>3</v>
      </c>
      <c r="M14" s="2" t="inlineStr">
        <is>
          <t>Maths_SecP1X_2026-27.pdf Page 2</t>
        </is>
      </c>
      <c r="N14" s="2" t="inlineStr">
        <is>
          <t>draft / unverified / REVIEW_PENDING</t>
        </is>
      </c>
      <c r="O14" s="3" t="inlineStr"/>
      <c r="P14" s="3" t="inlineStr"/>
      <c r="Q14" s="3" t="inlineStr"/>
      <c r="R14" s="3" t="inlineStr"/>
      <c r="S14" s="3" t="inlineStr"/>
      <c r="T14" s="3" t="inlineStr"/>
      <c r="U14" s="3" t="inlineStr"/>
    </row>
    <row r="15" ht="46" customHeight="1">
      <c r="A15" s="2" t="inlineStr">
        <is>
          <t>C10-2627-MATH-REQ001-REASS-007</t>
        </is>
      </c>
      <c r="B15" s="2" t="inlineStr">
        <is>
          <t>Mathematics</t>
        </is>
      </c>
      <c r="C15" s="2" t="inlineStr">
        <is>
          <t>Number Systems</t>
        </is>
      </c>
      <c r="D15" s="2" t="inlineStr">
        <is>
          <t>Real Numbers</t>
        </is>
      </c>
      <c r="E15" s="2" t="inlineStr">
        <is>
          <t>REQ_MATH_2026_001, REQ_MATH_2026_002, REQ_MATH_2026_003, REQ_MATH_2026_004</t>
        </is>
      </c>
      <c r="F15" s="2" t="inlineStr">
        <is>
          <t>LO_M1.1.1 — Express composite numbers as products of prime factors and calculate HCF and LCM using prime factorization.</t>
        </is>
      </c>
      <c r="G15" s="2" t="inlineStr">
        <is>
          <t>Fundamental Theorem of Arithmetic</t>
        </is>
      </c>
      <c r="H15" s="2" t="inlineStr">
        <is>
          <t>Assertion (A): For some natural number n, the number 6^n ends with the digit 0.
Reason (R): The prime factorisation of 6^n contains only the primes 2 and 3.
Choose the correct option.</t>
        </is>
      </c>
      <c r="I15" s="2" t="inlineStr">
        <is>
          <t>A. Both A and R are true and R is the correct explanation of A.
B. Both A and R are true but R is not the correct explanation of A.
C. A is true but R is false.
D. A is false but R is true.</t>
        </is>
      </c>
      <c r="J15" s="2" t="inlineStr">
        <is>
          <t>A is false but R is true.</t>
        </is>
      </c>
      <c r="K15" s="2" t="inlineStr">
        <is>
          <t>A number ends in 0 only if 5 divides it. 6^n = 2^n x 3^n has no factor 5, so the assertion is false while the reason is true.</t>
        </is>
      </c>
      <c r="L15" s="2" t="n">
        <v>3</v>
      </c>
      <c r="M15" s="2" t="inlineStr">
        <is>
          <t>Maths_SecP1X_2026-27.pdf Page 2</t>
        </is>
      </c>
      <c r="N15" s="2" t="inlineStr">
        <is>
          <t>draft / unverified / REVIEW_PENDING</t>
        </is>
      </c>
      <c r="O15" s="3" t="inlineStr"/>
      <c r="P15" s="3" t="inlineStr"/>
      <c r="Q15" s="3" t="inlineStr"/>
      <c r="R15" s="3" t="inlineStr"/>
      <c r="S15" s="3" t="inlineStr"/>
      <c r="T15" s="3" t="inlineStr"/>
      <c r="U15" s="3" t="inlineStr"/>
    </row>
    <row r="16" ht="46" customHeight="1">
      <c r="A16" s="2" t="inlineStr">
        <is>
          <t>C10-2627-MATH-REQ001-REASS-008</t>
        </is>
      </c>
      <c r="B16" s="2" t="inlineStr">
        <is>
          <t>Mathematics</t>
        </is>
      </c>
      <c r="C16" s="2" t="inlineStr">
        <is>
          <t>Number Systems</t>
        </is>
      </c>
      <c r="D16" s="2" t="inlineStr">
        <is>
          <t>Real Numbers</t>
        </is>
      </c>
      <c r="E16" s="2" t="inlineStr">
        <is>
          <t>REQ_MATH_2026_001, REQ_MATH_2026_002, REQ_MATH_2026_003, REQ_MATH_2026_004</t>
        </is>
      </c>
      <c r="F16" s="2" t="inlineStr">
        <is>
          <t>LO_M1.1.1 — Express composite numbers as products of prime factors and calculate HCF and LCM using prime factorization.</t>
        </is>
      </c>
      <c r="G16" s="2" t="inlineStr">
        <is>
          <t>Fundamental Theorem of Arithmetic</t>
        </is>
      </c>
      <c r="H16" s="2" t="inlineStr">
        <is>
          <t>Prime factorisations:
| Number | Factorisation |
| P | 2^4 x 3^2 x 7 |
| Q | 2^2 x 3^3 x 11 |
Write the HCF of P and Q.</t>
        </is>
      </c>
      <c r="I16" s="2" t="inlineStr">
        <is>
          <t>(constructed response)</t>
        </is>
      </c>
      <c r="J16" s="2" t="inlineStr">
        <is>
          <t>36</t>
        </is>
      </c>
      <c r="K16" s="2" t="inlineStr">
        <is>
          <t>Common primes are 2 and 3 with lowest powers 2^2 and 3^2, so the HCF is 4 x 9 = 36.</t>
        </is>
      </c>
      <c r="L16" s="2" t="n">
        <v>2</v>
      </c>
      <c r="M16" s="2" t="inlineStr">
        <is>
          <t>Maths_SecP1X_2026-27.pdf Page 2</t>
        </is>
      </c>
      <c r="N16" s="2" t="inlineStr">
        <is>
          <t>draft / unverified / REVIEW_PENDING</t>
        </is>
      </c>
      <c r="O16" s="3" t="inlineStr"/>
      <c r="P16" s="3" t="inlineStr"/>
      <c r="Q16" s="3" t="inlineStr"/>
      <c r="R16" s="3" t="inlineStr"/>
      <c r="S16" s="3" t="inlineStr"/>
      <c r="T16" s="3" t="inlineStr"/>
      <c r="U16" s="3" t="inlineStr"/>
    </row>
    <row r="17" ht="46" customHeight="1">
      <c r="A17" s="2" t="inlineStr">
        <is>
          <t>C10-2627-MATH-REQ001-REASS-009</t>
        </is>
      </c>
      <c r="B17" s="2" t="inlineStr">
        <is>
          <t>Mathematics</t>
        </is>
      </c>
      <c r="C17" s="2" t="inlineStr">
        <is>
          <t>Number Systems</t>
        </is>
      </c>
      <c r="D17" s="2" t="inlineStr">
        <is>
          <t>Real Numbers</t>
        </is>
      </c>
      <c r="E17" s="2" t="inlineStr">
        <is>
          <t>REQ_MATH_2026_001, REQ_MATH_2026_002, REQ_MATH_2026_003, REQ_MATH_2026_004</t>
        </is>
      </c>
      <c r="F17" s="2" t="inlineStr">
        <is>
          <t>LO_M1.1.1 — Express composite numbers as products of prime factors and calculate HCF and LCM using prime factorization.</t>
        </is>
      </c>
      <c r="G17" s="2" t="inlineStr">
        <is>
          <t>Fundamental Theorem of Arithmetic</t>
        </is>
      </c>
      <c r="H17" s="2" t="inlineStr">
        <is>
          <t>Find the HCF of 144, 180 and 192 by prime factorisation.</t>
        </is>
      </c>
      <c r="I17" s="2" t="inlineStr">
        <is>
          <t>(constructed response)</t>
        </is>
      </c>
      <c r="J17" s="2" t="inlineStr">
        <is>
          <t>12</t>
        </is>
      </c>
      <c r="K17" s="2" t="inlineStr">
        <is>
          <t>144 = 2^4 x 3^2, 180 = 2^2 x 3^2 x 5, 192 = 2^6 x 3. Lowest common powers give 2^2 x 3 = 12.</t>
        </is>
      </c>
      <c r="L17" s="2" t="n">
        <v>3</v>
      </c>
      <c r="M17" s="2" t="inlineStr">
        <is>
          <t>Maths_SecP1X_2026-27.pdf Page 2</t>
        </is>
      </c>
      <c r="N17" s="2" t="inlineStr">
        <is>
          <t>draft / unverified / REVIEW_PENDING</t>
        </is>
      </c>
      <c r="O17" s="3" t="inlineStr"/>
      <c r="P17" s="3" t="inlineStr"/>
      <c r="Q17" s="3" t="inlineStr"/>
      <c r="R17" s="3" t="inlineStr"/>
      <c r="S17" s="3" t="inlineStr"/>
      <c r="T17" s="3" t="inlineStr"/>
      <c r="U17" s="3" t="inlineStr"/>
    </row>
    <row r="18" ht="46" customHeight="1">
      <c r="A18" s="2" t="inlineStr">
        <is>
          <t>C10-2627-MATH-REQ001-REASS-010</t>
        </is>
      </c>
      <c r="B18" s="2" t="inlineStr">
        <is>
          <t>Mathematics</t>
        </is>
      </c>
      <c r="C18" s="2" t="inlineStr">
        <is>
          <t>Number Systems</t>
        </is>
      </c>
      <c r="D18" s="2" t="inlineStr">
        <is>
          <t>Real Numbers</t>
        </is>
      </c>
      <c r="E18" s="2" t="inlineStr">
        <is>
          <t>REQ_MATH_2026_001, REQ_MATH_2026_002, REQ_MATH_2026_003, REQ_MATH_2026_004</t>
        </is>
      </c>
      <c r="F18" s="2" t="inlineStr">
        <is>
          <t>LO_M1.1.1 — Express composite numbers as products of prime factors and calculate HCF and LCM using prime factorization.</t>
        </is>
      </c>
      <c r="G18" s="2" t="inlineStr">
        <is>
          <t>Fundamental Theorem of Arithmetic</t>
        </is>
      </c>
      <c r="H18" s="2" t="inlineStr">
        <is>
          <t>A rectangular verandah measures 624 cm by 498 cm. It is to be paved with identical square tiles laid without cutting any tile and without leaving a gap.
What is the largest possible side of such a square tile, in centimetres?</t>
        </is>
      </c>
      <c r="I18" s="2" t="inlineStr">
        <is>
          <t>(constructed response)</t>
        </is>
      </c>
      <c r="J18" s="2" t="inlineStr">
        <is>
          <t>6</t>
        </is>
      </c>
      <c r="K18" s="2" t="inlineStr">
        <is>
          <t>The tile side must divide both 624 and 498, so it is HCF(624, 498). 624 = 2^4 x 3 x 13 and 498 = 2 x 3 x 83, giving 6 cm.</t>
        </is>
      </c>
      <c r="L18" s="2" t="n">
        <v>4</v>
      </c>
      <c r="M18" s="2" t="inlineStr">
        <is>
          <t>Maths_SecP1X_2026-27.pdf Page 2</t>
        </is>
      </c>
      <c r="N18" s="2" t="inlineStr">
        <is>
          <t>draft / unverified / REVIEW_PENDING</t>
        </is>
      </c>
      <c r="O18" s="3" t="inlineStr"/>
      <c r="P18" s="3" t="inlineStr"/>
      <c r="Q18" s="3" t="inlineStr"/>
      <c r="R18" s="3" t="inlineStr"/>
      <c r="S18" s="3" t="inlineStr"/>
      <c r="T18" s="3" t="inlineStr"/>
      <c r="U18" s="3" t="inlineStr"/>
    </row>
    <row r="19" ht="46" customHeight="1">
      <c r="A19" s="2" t="inlineStr">
        <is>
          <t>C10-2627-MATH-REQ001-DIAG-008</t>
        </is>
      </c>
      <c r="B19" s="2" t="inlineStr">
        <is>
          <t>Mathematics</t>
        </is>
      </c>
      <c r="C19" s="2" t="inlineStr">
        <is>
          <t>Number Systems</t>
        </is>
      </c>
      <c r="D19" s="2" t="inlineStr">
        <is>
          <t>Real Numbers</t>
        </is>
      </c>
      <c r="E19" s="2" t="inlineStr">
        <is>
          <t>REQ_MATH_2026_001, REQ_MATH_2026_002, REQ_MATH_2026_003, REQ_MATH_2026_004</t>
        </is>
      </c>
      <c r="F19" s="2" t="inlineStr">
        <is>
          <t>LO_M1.1.2 — Prove the irrationality of numbers such as square root of 2, square root of 3, and square root of 5.</t>
        </is>
      </c>
      <c r="G19" s="2" t="inlineStr">
        <is>
          <t>Fundamental Theorem of Arithmetic</t>
        </is>
      </c>
      <c r="H19" s="2" t="inlineStr">
        <is>
          <t>Show that the square root of 3 is irrational.</t>
        </is>
      </c>
      <c r="I19" s="2" t="inlineStr">
        <is>
          <t>(constructed response)</t>
        </is>
      </c>
      <c r="J19" s="2" t="inlineStr">
        <is>
          <t>Assume root 3 = a/b in lowest terms; then 3b^2 = a^2, so 3 divides a, write a = 3c to get b^2 = 3c^2, so 3 divides b as well, contradicting lowest terms. Hence root 3 is irrational.</t>
        </is>
      </c>
      <c r="K19" s="2" t="inlineStr">
        <is>
          <t>This is the standard contradiction argument: it uses the fact that if a prime p divides a^2 then p divides a, which follows from unique prime factorisation.</t>
        </is>
      </c>
      <c r="L19" s="2" t="n">
        <v>4</v>
      </c>
      <c r="M19" s="2" t="inlineStr">
        <is>
          <t>Maths_SecP1X_2026-27.pdf Page 2</t>
        </is>
      </c>
      <c r="N19" s="2" t="inlineStr">
        <is>
          <t>draft / unverified / REVIEW_PENDING</t>
        </is>
      </c>
      <c r="O19" s="3" t="inlineStr"/>
      <c r="P19" s="3" t="inlineStr"/>
      <c r="Q19" s="3" t="inlineStr"/>
      <c r="R19" s="3" t="inlineStr"/>
      <c r="S19" s="3" t="inlineStr"/>
      <c r="T19" s="3" t="inlineStr"/>
      <c r="U19" s="3" t="inlineStr"/>
    </row>
    <row r="20" ht="46" customHeight="1">
      <c r="A20" s="2" t="inlineStr">
        <is>
          <t>C10-2627-MATH-REQ001-DIAG-009</t>
        </is>
      </c>
      <c r="B20" s="2" t="inlineStr">
        <is>
          <t>Mathematics</t>
        </is>
      </c>
      <c r="C20" s="2" t="inlineStr">
        <is>
          <t>Number Systems</t>
        </is>
      </c>
      <c r="D20" s="2" t="inlineStr">
        <is>
          <t>Real Numbers</t>
        </is>
      </c>
      <c r="E20" s="2" t="inlineStr">
        <is>
          <t>REQ_MATH_2026_001, REQ_MATH_2026_002, REQ_MATH_2026_003, REQ_MATH_2026_004</t>
        </is>
      </c>
      <c r="F20" s="2" t="inlineStr">
        <is>
          <t>LO_M1.1.2 — Prove the irrationality of numbers such as square root of 2, square root of 3, and square root of 5.</t>
        </is>
      </c>
      <c r="G20" s="2" t="inlineStr">
        <is>
          <t>Fundamental Theorem of Arithmetic</t>
        </is>
      </c>
      <c r="H20" s="2" t="inlineStr">
        <is>
          <t>Which of the following numbers is irrational?</t>
        </is>
      </c>
      <c r="I20" s="2" t="inlineStr">
        <is>
          <t>A. 0.75
B. root 49
C. 22/7
D. 5 + root 2</t>
        </is>
      </c>
      <c r="J20" s="2" t="inlineStr">
        <is>
          <t>5 + root 2</t>
        </is>
      </c>
      <c r="K20" s="2" t="inlineStr">
        <is>
          <t>root 49 = 7 and 22/7 and 0.75 are ratios of integers. A rational plus an irrational is irrational, so 5 + root 2 is irrational.</t>
        </is>
      </c>
      <c r="L20" s="2" t="n">
        <v>2</v>
      </c>
      <c r="M20" s="2" t="inlineStr">
        <is>
          <t>Maths_SecP1X_2026-27.pdf Page 2</t>
        </is>
      </c>
      <c r="N20" s="2" t="inlineStr">
        <is>
          <t>draft / unverified / REVIEW_PENDING</t>
        </is>
      </c>
      <c r="O20" s="3" t="inlineStr"/>
      <c r="P20" s="3" t="inlineStr"/>
      <c r="Q20" s="3" t="inlineStr"/>
      <c r="R20" s="3" t="inlineStr"/>
      <c r="S20" s="3" t="inlineStr"/>
      <c r="T20" s="3" t="inlineStr"/>
      <c r="U20" s="3" t="inlineStr"/>
    </row>
    <row r="21" ht="46" customHeight="1">
      <c r="A21" s="2" t="inlineStr">
        <is>
          <t>C10-2627-MATH-REQ001-DIAG-010</t>
        </is>
      </c>
      <c r="B21" s="2" t="inlineStr">
        <is>
          <t>Mathematics</t>
        </is>
      </c>
      <c r="C21" s="2" t="inlineStr">
        <is>
          <t>Number Systems</t>
        </is>
      </c>
      <c r="D21" s="2" t="inlineStr">
        <is>
          <t>Real Numbers</t>
        </is>
      </c>
      <c r="E21" s="2" t="inlineStr">
        <is>
          <t>REQ_MATH_2026_001, REQ_MATH_2026_002, REQ_MATH_2026_003, REQ_MATH_2026_004</t>
        </is>
      </c>
      <c r="F21" s="2" t="inlineStr">
        <is>
          <t>LO_M1.1.2 — Prove the irrationality of numbers such as square root of 2, square root of 3, and square root of 5.</t>
        </is>
      </c>
      <c r="G21" s="2" t="inlineStr">
        <is>
          <t>Fundamental Theorem of Arithmetic</t>
        </is>
      </c>
      <c r="H21" s="2" t="inlineStr">
        <is>
          <t>Assertion (A): root 12 is an irrational number.
Reason (R): The product of a non-zero rational number and an irrational number is irrational.
Choose the correct option.</t>
        </is>
      </c>
      <c r="I21" s="2" t="inlineStr">
        <is>
          <t>A. Both A and R are true and R is the correct explanation of A.
B. Both A and R are true but R is not the correct explanation of A.
C. A is true but R is false.
D. A is false but R is true.</t>
        </is>
      </c>
      <c r="J21" s="2" t="inlineStr">
        <is>
          <t>Both A and R are true and R is the correct explanation of A.</t>
        </is>
      </c>
      <c r="K21" s="2" t="inlineStr">
        <is>
          <t>root 12 = 2 x root 3, a non-zero rational times an irrational, which the reason shows must be irrational.</t>
        </is>
      </c>
      <c r="L21" s="2" t="n">
        <v>3</v>
      </c>
      <c r="M21" s="2" t="inlineStr">
        <is>
          <t>Maths_SecP1X_2026-27.pdf Page 2</t>
        </is>
      </c>
      <c r="N21" s="2" t="inlineStr">
        <is>
          <t>draft / unverified / REVIEW_PENDING</t>
        </is>
      </c>
      <c r="O21" s="3" t="inlineStr"/>
      <c r="P21" s="3" t="inlineStr"/>
      <c r="Q21" s="3" t="inlineStr"/>
      <c r="R21" s="3" t="inlineStr"/>
      <c r="S21" s="3" t="inlineStr"/>
      <c r="T21" s="3" t="inlineStr"/>
      <c r="U21" s="3" t="inlineStr"/>
    </row>
    <row r="22" ht="46" customHeight="1">
      <c r="A22" s="2" t="inlineStr">
        <is>
          <t>C10-2627-MATH-REQ001-DIAG-011</t>
        </is>
      </c>
      <c r="B22" s="2" t="inlineStr">
        <is>
          <t>Mathematics</t>
        </is>
      </c>
      <c r="C22" s="2" t="inlineStr">
        <is>
          <t>Number Systems</t>
        </is>
      </c>
      <c r="D22" s="2" t="inlineStr">
        <is>
          <t>Real Numbers</t>
        </is>
      </c>
      <c r="E22" s="2" t="inlineStr">
        <is>
          <t>REQ_MATH_2026_001, REQ_MATH_2026_002, REQ_MATH_2026_003, REQ_MATH_2026_004</t>
        </is>
      </c>
      <c r="F22" s="2" t="inlineStr">
        <is>
          <t>LO_M1.1.2 — Prove the irrationality of numbers such as square root of 2, square root of 3, and square root of 5.</t>
        </is>
      </c>
      <c r="G22" s="2" t="inlineStr">
        <is>
          <t>Fundamental Theorem of Arithmetic</t>
        </is>
      </c>
      <c r="H22" s="2" t="inlineStr">
        <is>
          <t>State whether the following is true or false, and justify in one line: The sum of two irrational numbers is always irrational.</t>
        </is>
      </c>
      <c r="I22" s="2" t="inlineStr">
        <is>
          <t>A. True
B. False</t>
        </is>
      </c>
      <c r="J22" s="2" t="inlineStr">
        <is>
          <t>False</t>
        </is>
      </c>
      <c r="K22" s="2" t="inlineStr">
        <is>
          <t>A counterexample settles it: (2 + root 5) + (2 - root 5) = 4, which is rational.</t>
        </is>
      </c>
      <c r="L22" s="2" t="n">
        <v>2</v>
      </c>
      <c r="M22" s="2" t="inlineStr">
        <is>
          <t>Maths_SecP1X_2026-27.pdf Page 2</t>
        </is>
      </c>
      <c r="N22" s="2" t="inlineStr">
        <is>
          <t>draft / unverified / REVIEW_PENDING</t>
        </is>
      </c>
      <c r="O22" s="3" t="inlineStr"/>
      <c r="P22" s="3" t="inlineStr"/>
      <c r="Q22" s="3" t="inlineStr"/>
      <c r="R22" s="3" t="inlineStr"/>
      <c r="S22" s="3" t="inlineStr"/>
      <c r="T22" s="3" t="inlineStr"/>
      <c r="U22" s="3" t="inlineStr"/>
    </row>
    <row r="23" ht="46" customHeight="1">
      <c r="A23" s="2" t="inlineStr">
        <is>
          <t>C10-2627-MATH-REQ001-DIAG-012</t>
        </is>
      </c>
      <c r="B23" s="2" t="inlineStr">
        <is>
          <t>Mathematics</t>
        </is>
      </c>
      <c r="C23" s="2" t="inlineStr">
        <is>
          <t>Number Systems</t>
        </is>
      </c>
      <c r="D23" s="2" t="inlineStr">
        <is>
          <t>Real Numbers</t>
        </is>
      </c>
      <c r="E23" s="2" t="inlineStr">
        <is>
          <t>REQ_MATH_2026_001, REQ_MATH_2026_002, REQ_MATH_2026_003, REQ_MATH_2026_004</t>
        </is>
      </c>
      <c r="F23" s="2" t="inlineStr">
        <is>
          <t>LO_M1.1.2 — Prove the irrationality of numbers such as square root of 2, square root of 3, and square root of 5.</t>
        </is>
      </c>
      <c r="G23" s="2" t="inlineStr">
        <is>
          <t>Fundamental Theorem of Arithmetic</t>
        </is>
      </c>
      <c r="H23" s="2" t="inlineStr">
        <is>
          <t>Given that root 5 is irrational, show that 3 - 2 root 5 is irrational.</t>
        </is>
      </c>
      <c r="I23" s="2" t="inlineStr">
        <is>
          <t>(constructed response)</t>
        </is>
      </c>
      <c r="J23" s="2" t="inlineStr">
        <is>
          <t>If 3 - 2 root 5 were rational and equal to r, then root 5 = (3 - r)/2 would be rational, contradicting the given. Hence 3 - 2 root 5 is irrational.</t>
        </is>
      </c>
      <c r="K23" s="2" t="inlineStr">
        <is>
          <t>The argument isolates root 5 using only rational operations, so a rational value for the expression would force a rational value for root 5.</t>
        </is>
      </c>
      <c r="L23" s="2" t="n">
        <v>3</v>
      </c>
      <c r="M23" s="2" t="inlineStr">
        <is>
          <t>Maths_SecP1X_2026-27.pdf Page 2</t>
        </is>
      </c>
      <c r="N23" s="2" t="inlineStr">
        <is>
          <t>draft / unverified / REVIEW_PENDING</t>
        </is>
      </c>
      <c r="O23" s="3" t="inlineStr"/>
      <c r="P23" s="3" t="inlineStr"/>
      <c r="Q23" s="3" t="inlineStr"/>
      <c r="R23" s="3" t="inlineStr"/>
      <c r="S23" s="3" t="inlineStr"/>
      <c r="T23" s="3" t="inlineStr"/>
      <c r="U23" s="3" t="inlineStr"/>
    </row>
    <row r="24" ht="46" customHeight="1">
      <c r="A24" s="2" t="inlineStr">
        <is>
          <t>C10-2627-MATH-REQ001-DIAG-013</t>
        </is>
      </c>
      <c r="B24" s="2" t="inlineStr">
        <is>
          <t>Mathematics</t>
        </is>
      </c>
      <c r="C24" s="2" t="inlineStr">
        <is>
          <t>Number Systems</t>
        </is>
      </c>
      <c r="D24" s="2" t="inlineStr">
        <is>
          <t>Real Numbers</t>
        </is>
      </c>
      <c r="E24" s="2" t="inlineStr">
        <is>
          <t>REQ_MATH_2026_001, REQ_MATH_2026_002, REQ_MATH_2026_003, REQ_MATH_2026_004</t>
        </is>
      </c>
      <c r="F24" s="2" t="inlineStr">
        <is>
          <t>LO_M1.1.2 — Prove the irrationality of numbers such as square root of 2, square root of 3, and square root of 5.</t>
        </is>
      </c>
      <c r="G24" s="2" t="inlineStr">
        <is>
          <t>Fundamental Theorem of Arithmetic</t>
        </is>
      </c>
      <c r="H24" s="2" t="inlineStr">
        <is>
          <t>A student writes: 'Every number written with a square root sign is irrational, so root(9/4) is irrational.'
Is the student correct? Give the value of root(9/4) and classify it.</t>
        </is>
      </c>
      <c r="I24" s="2" t="inlineStr">
        <is>
          <t>(constructed response)</t>
        </is>
      </c>
      <c r="J24" s="2" t="inlineStr">
        <is>
          <t>Not correct; root(9/4) = 3/2, which is rational.</t>
        </is>
      </c>
      <c r="K24" s="2" t="inlineStr">
        <is>
          <t>A square root is irrational only when the number under the root is not a perfect square of a rational. Here 9/4 is the square of 3/2.</t>
        </is>
      </c>
      <c r="L24" s="2" t="n">
        <v>3</v>
      </c>
      <c r="M24" s="2" t="inlineStr">
        <is>
          <t>Maths_SecP1X_2026-27.pdf Page 2</t>
        </is>
      </c>
      <c r="N24" s="2" t="inlineStr">
        <is>
          <t>draft / unverified / REVIEW_PENDING</t>
        </is>
      </c>
      <c r="O24" s="3" t="inlineStr"/>
      <c r="P24" s="3" t="inlineStr"/>
      <c r="Q24" s="3" t="inlineStr"/>
      <c r="R24" s="3" t="inlineStr"/>
      <c r="S24" s="3" t="inlineStr"/>
      <c r="T24" s="3" t="inlineStr"/>
      <c r="U24" s="3" t="inlineStr"/>
    </row>
    <row r="25" ht="46" customHeight="1">
      <c r="A25" s="2" t="inlineStr">
        <is>
          <t>C10-2627-MATH-REQ001-DIAG-014</t>
        </is>
      </c>
      <c r="B25" s="2" t="inlineStr">
        <is>
          <t>Mathematics</t>
        </is>
      </c>
      <c r="C25" s="2" t="inlineStr">
        <is>
          <t>Number Systems</t>
        </is>
      </c>
      <c r="D25" s="2" t="inlineStr">
        <is>
          <t>Real Numbers</t>
        </is>
      </c>
      <c r="E25" s="2" t="inlineStr">
        <is>
          <t>REQ_MATH_2026_001, REQ_MATH_2026_002, REQ_MATH_2026_003, REQ_MATH_2026_004</t>
        </is>
      </c>
      <c r="F25" s="2" t="inlineStr">
        <is>
          <t>LO_M1.1.2 — Prove the irrationality of numbers such as square root of 2, square root of 3, and square root of 5.</t>
        </is>
      </c>
      <c r="G25" s="2" t="inlineStr">
        <is>
          <t>Fundamental Theorem of Arithmetic</t>
        </is>
      </c>
      <c r="H25" s="2" t="inlineStr">
        <is>
          <t>Fill in both blanks: root 2 x root 8 = ______, which is a ______ number (rational / irrational).</t>
        </is>
      </c>
      <c r="I25" s="2" t="inlineStr">
        <is>
          <t>(constructed response)</t>
        </is>
      </c>
      <c r="J25" s="2" t="inlineStr">
        <is>
          <t>4, rational</t>
        </is>
      </c>
      <c r="K25" s="2" t="inlineStr">
        <is>
          <t>root 2 x root 8 = root 16 = 4, an integer and therefore rational. Two irrationals can multiply to a rational.</t>
        </is>
      </c>
      <c r="L25" s="2" t="n">
        <v>2</v>
      </c>
      <c r="M25" s="2" t="inlineStr">
        <is>
          <t>Maths_SecP1X_2026-27.pdf Page 2</t>
        </is>
      </c>
      <c r="N25" s="2" t="inlineStr">
        <is>
          <t>draft / unverified / REVIEW_PENDING</t>
        </is>
      </c>
      <c r="O25" s="3" t="inlineStr"/>
      <c r="P25" s="3" t="inlineStr"/>
      <c r="Q25" s="3" t="inlineStr"/>
      <c r="R25" s="3" t="inlineStr"/>
      <c r="S25" s="3" t="inlineStr"/>
      <c r="T25" s="3" t="inlineStr"/>
      <c r="U25" s="3" t="inlineStr"/>
    </row>
    <row r="26" ht="46" customHeight="1">
      <c r="A26" s="2" t="inlineStr">
        <is>
          <t>C10-2627-MATH-REQ001-REASS-011</t>
        </is>
      </c>
      <c r="B26" s="2" t="inlineStr">
        <is>
          <t>Mathematics</t>
        </is>
      </c>
      <c r="C26" s="2" t="inlineStr">
        <is>
          <t>Number Systems</t>
        </is>
      </c>
      <c r="D26" s="2" t="inlineStr">
        <is>
          <t>Real Numbers</t>
        </is>
      </c>
      <c r="E26" s="2" t="inlineStr">
        <is>
          <t>REQ_MATH_2026_001, REQ_MATH_2026_002, REQ_MATH_2026_003, REQ_MATH_2026_004</t>
        </is>
      </c>
      <c r="F26" s="2" t="inlineStr">
        <is>
          <t>LO_M1.1.2 — Prove the irrationality of numbers such as square root of 2, square root of 3, and square root of 5.</t>
        </is>
      </c>
      <c r="G26" s="2" t="inlineStr">
        <is>
          <t>Fundamental Theorem of Arithmetic</t>
        </is>
      </c>
      <c r="H26" s="2" t="inlineStr">
        <is>
          <t>Prove that the square root of 7 is irrational.</t>
        </is>
      </c>
      <c r="I26" s="2" t="inlineStr">
        <is>
          <t>(constructed response)</t>
        </is>
      </c>
      <c r="J26" s="2" t="inlineStr">
        <is>
          <t>Suppose root 7 = a/b with a, b co-prime. Then 7b^2 = a^2, so 7 divides a; writing a = 7c gives b^2 = 7c^2, so 7 divides b. This contradicts a and b being co-prime, so root 7 is irrational.</t>
        </is>
      </c>
      <c r="K26" s="2" t="inlineStr">
        <is>
          <t>Same contradiction structure as for other primes, resting on: if a prime p divides a^2 then p divides a.</t>
        </is>
      </c>
      <c r="L26" s="2" t="n">
        <v>4</v>
      </c>
      <c r="M26" s="2" t="inlineStr">
        <is>
          <t>Maths_SecP1X_2026-27.pdf Page 2</t>
        </is>
      </c>
      <c r="N26" s="2" t="inlineStr">
        <is>
          <t>draft / unverified / REVIEW_PENDING</t>
        </is>
      </c>
      <c r="O26" s="3" t="inlineStr"/>
      <c r="P26" s="3" t="inlineStr"/>
      <c r="Q26" s="3" t="inlineStr"/>
      <c r="R26" s="3" t="inlineStr"/>
      <c r="S26" s="3" t="inlineStr"/>
      <c r="T26" s="3" t="inlineStr"/>
      <c r="U26" s="3" t="inlineStr"/>
    </row>
    <row r="27" ht="46" customHeight="1">
      <c r="A27" s="2" t="inlineStr">
        <is>
          <t>C10-2627-MATH-REQ001-REASS-012</t>
        </is>
      </c>
      <c r="B27" s="2" t="inlineStr">
        <is>
          <t>Mathematics</t>
        </is>
      </c>
      <c r="C27" s="2" t="inlineStr">
        <is>
          <t>Number Systems</t>
        </is>
      </c>
      <c r="D27" s="2" t="inlineStr">
        <is>
          <t>Real Numbers</t>
        </is>
      </c>
      <c r="E27" s="2" t="inlineStr">
        <is>
          <t>REQ_MATH_2026_001, REQ_MATH_2026_002, REQ_MATH_2026_003, REQ_MATH_2026_004</t>
        </is>
      </c>
      <c r="F27" s="2" t="inlineStr">
        <is>
          <t>LO_M1.1.2 — Prove the irrationality of numbers such as square root of 2, square root of 3, and square root of 5.</t>
        </is>
      </c>
      <c r="G27" s="2" t="inlineStr">
        <is>
          <t>Fundamental Theorem of Arithmetic</t>
        </is>
      </c>
      <c r="H27" s="2" t="inlineStr">
        <is>
          <t>Exactly one number in the list below can be written as a ratio of two integers. Identify it.</t>
        </is>
      </c>
      <c r="I27" s="2" t="inlineStr">
        <is>
          <t>A. root 2 x root 5
B. root 16
C. root 20
D. 2 + root 3</t>
        </is>
      </c>
      <c r="J27" s="2" t="inlineStr">
        <is>
          <t>root 16</t>
        </is>
      </c>
      <c r="K27" s="2" t="inlineStr">
        <is>
          <t>root 16 = 4. The others reduce to 2 root 5, an irrational sum, and root 10, all irrational.</t>
        </is>
      </c>
      <c r="L27" s="2" t="n">
        <v>2</v>
      </c>
      <c r="M27" s="2" t="inlineStr">
        <is>
          <t>Maths_SecP1X_2026-27.pdf Page 2</t>
        </is>
      </c>
      <c r="N27" s="2" t="inlineStr">
        <is>
          <t>draft / unverified / REVIEW_PENDING</t>
        </is>
      </c>
      <c r="O27" s="3" t="inlineStr"/>
      <c r="P27" s="3" t="inlineStr"/>
      <c r="Q27" s="3" t="inlineStr"/>
      <c r="R27" s="3" t="inlineStr"/>
      <c r="S27" s="3" t="inlineStr"/>
      <c r="T27" s="3" t="inlineStr"/>
      <c r="U27" s="3" t="inlineStr"/>
    </row>
    <row r="28" ht="46" customHeight="1">
      <c r="A28" s="2" t="inlineStr">
        <is>
          <t>C10-2627-MATH-REQ001-REASS-013</t>
        </is>
      </c>
      <c r="B28" s="2" t="inlineStr">
        <is>
          <t>Mathematics</t>
        </is>
      </c>
      <c r="C28" s="2" t="inlineStr">
        <is>
          <t>Number Systems</t>
        </is>
      </c>
      <c r="D28" s="2" t="inlineStr">
        <is>
          <t>Real Numbers</t>
        </is>
      </c>
      <c r="E28" s="2" t="inlineStr">
        <is>
          <t>REQ_MATH_2026_001, REQ_MATH_2026_002, REQ_MATH_2026_003, REQ_MATH_2026_004</t>
        </is>
      </c>
      <c r="F28" s="2" t="inlineStr">
        <is>
          <t>LO_M1.1.2 — Prove the irrationality of numbers such as square root of 2, square root of 3, and square root of 5.</t>
        </is>
      </c>
      <c r="G28" s="2" t="inlineStr">
        <is>
          <t>Fundamental Theorem of Arithmetic</t>
        </is>
      </c>
      <c r="H28" s="2" t="inlineStr">
        <is>
          <t>Given that root 3 is irrational, show that 5 - root 3 is irrational.</t>
        </is>
      </c>
      <c r="I28" s="2" t="inlineStr">
        <is>
          <t>(constructed response)</t>
        </is>
      </c>
      <c r="J28" s="2" t="inlineStr">
        <is>
          <t>If 5 - root 3 = r were rational then root 3 = 5 - r would be rational, contradicting the given. So 5 - root 3 is irrational.</t>
        </is>
      </c>
      <c r="K28" s="2" t="inlineStr">
        <is>
          <t>Subtraction of rationals keeps a number rational, so a rational value would make root 3 rational.</t>
        </is>
      </c>
      <c r="L28" s="2" t="n">
        <v>3</v>
      </c>
      <c r="M28" s="2" t="inlineStr">
        <is>
          <t>Maths_SecP1X_2026-27.pdf Page 2</t>
        </is>
      </c>
      <c r="N28" s="2" t="inlineStr">
        <is>
          <t>draft / unverified / REVIEW_PENDING</t>
        </is>
      </c>
      <c r="O28" s="3" t="inlineStr"/>
      <c r="P28" s="3" t="inlineStr"/>
      <c r="Q28" s="3" t="inlineStr"/>
      <c r="R28" s="3" t="inlineStr"/>
      <c r="S28" s="3" t="inlineStr"/>
      <c r="T28" s="3" t="inlineStr"/>
      <c r="U28" s="3" t="inlineStr"/>
    </row>
    <row r="29" ht="46" customHeight="1">
      <c r="A29" s="2" t="inlineStr">
        <is>
          <t>C10-2627-MATH-REQ001-REASS-014</t>
        </is>
      </c>
      <c r="B29" s="2" t="inlineStr">
        <is>
          <t>Mathematics</t>
        </is>
      </c>
      <c r="C29" s="2" t="inlineStr">
        <is>
          <t>Number Systems</t>
        </is>
      </c>
      <c r="D29" s="2" t="inlineStr">
        <is>
          <t>Real Numbers</t>
        </is>
      </c>
      <c r="E29" s="2" t="inlineStr">
        <is>
          <t>REQ_MATH_2026_001, REQ_MATH_2026_002, REQ_MATH_2026_003, REQ_MATH_2026_004</t>
        </is>
      </c>
      <c r="F29" s="2" t="inlineStr">
        <is>
          <t>LO_M1.1.2 — Prove the irrationality of numbers such as square root of 2, square root of 3, and square root of 5.</t>
        </is>
      </c>
      <c r="G29" s="2" t="inlineStr">
        <is>
          <t>Fundamental Theorem of Arithmetic</t>
        </is>
      </c>
      <c r="H29" s="2" t="inlineStr">
        <is>
          <t>Assertion (A): root 6 + root 6 is irrational.
Reason (R): The sum of any two irrational numbers is always irrational.
Choose the correct option.</t>
        </is>
      </c>
      <c r="I29" s="2" t="inlineStr">
        <is>
          <t>A. Both A and R are true and R is the correct explanation of A.
B. Both A and R are true but R is not the correct explanation of A.
C. A is true but R is false.
D. A is false but R is true.</t>
        </is>
      </c>
      <c r="J29" s="2" t="inlineStr">
        <is>
          <t>A is true but R is false.</t>
        </is>
      </c>
      <c r="K29" s="2" t="inlineStr">
        <is>
          <t>root 6 + root 6 = 2 root 6, which is irrational, so A is true. R is false because root 2 + (- root 2) = 0 is rational.</t>
        </is>
      </c>
      <c r="L29" s="2" t="n">
        <v>3</v>
      </c>
      <c r="M29" s="2" t="inlineStr">
        <is>
          <t>Maths_SecP1X_2026-27.pdf Page 2</t>
        </is>
      </c>
      <c r="N29" s="2" t="inlineStr">
        <is>
          <t>draft / unverified / REVIEW_PENDING</t>
        </is>
      </c>
      <c r="O29" s="3" t="inlineStr"/>
      <c r="P29" s="3" t="inlineStr"/>
      <c r="Q29" s="3" t="inlineStr"/>
      <c r="R29" s="3" t="inlineStr"/>
      <c r="S29" s="3" t="inlineStr"/>
      <c r="T29" s="3" t="inlineStr"/>
      <c r="U29" s="3" t="inlineStr"/>
    </row>
    <row r="30" ht="46" customHeight="1">
      <c r="A30" s="2" t="inlineStr">
        <is>
          <t>C10-2627-MATH-REQ001-REASS-015</t>
        </is>
      </c>
      <c r="B30" s="2" t="inlineStr">
        <is>
          <t>Mathematics</t>
        </is>
      </c>
      <c r="C30" s="2" t="inlineStr">
        <is>
          <t>Number Systems</t>
        </is>
      </c>
      <c r="D30" s="2" t="inlineStr">
        <is>
          <t>Real Numbers</t>
        </is>
      </c>
      <c r="E30" s="2" t="inlineStr">
        <is>
          <t>REQ_MATH_2026_001, REQ_MATH_2026_002, REQ_MATH_2026_003, REQ_MATH_2026_004</t>
        </is>
      </c>
      <c r="F30" s="2" t="inlineStr">
        <is>
          <t>LO_M1.1.2 — Prove the irrationality of numbers such as square root of 2, square root of 3, and square root of 5.</t>
        </is>
      </c>
      <c r="G30" s="2" t="inlineStr">
        <is>
          <t>Fundamental Theorem of Arithmetic</t>
        </is>
      </c>
      <c r="H30" s="2" t="inlineStr">
        <is>
          <t>State whether the following is true or false, and justify in one line: Every real number is either rational or irrational.</t>
        </is>
      </c>
      <c r="I30" s="2" t="inlineStr">
        <is>
          <t>A. True
B. False</t>
        </is>
      </c>
      <c r="J30" s="2" t="inlineStr">
        <is>
          <t>True</t>
        </is>
      </c>
      <c r="K30" s="2" t="inlineStr">
        <is>
          <t>The irrationals are defined as exactly those real numbers that are not rational, so the two classes together make up the reals.</t>
        </is>
      </c>
      <c r="L30" s="2" t="n">
        <v>1</v>
      </c>
      <c r="M30" s="2" t="inlineStr">
        <is>
          <t>Maths_SecP1X_2026-27.pdf Page 2</t>
        </is>
      </c>
      <c r="N30" s="2" t="inlineStr">
        <is>
          <t>draft / unverified / REVIEW_PENDING</t>
        </is>
      </c>
      <c r="O30" s="3" t="inlineStr"/>
      <c r="P30" s="3" t="inlineStr"/>
      <c r="Q30" s="3" t="inlineStr"/>
      <c r="R30" s="3" t="inlineStr"/>
      <c r="S30" s="3" t="inlineStr"/>
      <c r="T30" s="3" t="inlineStr"/>
      <c r="U30" s="3" t="inlineStr"/>
    </row>
    <row r="31" ht="46" customHeight="1">
      <c r="A31" s="2" t="inlineStr">
        <is>
          <t>C10-2627-MATH-REQ001-REASS-016</t>
        </is>
      </c>
      <c r="B31" s="2" t="inlineStr">
        <is>
          <t>Mathematics</t>
        </is>
      </c>
      <c r="C31" s="2" t="inlineStr">
        <is>
          <t>Number Systems</t>
        </is>
      </c>
      <c r="D31" s="2" t="inlineStr">
        <is>
          <t>Real Numbers</t>
        </is>
      </c>
      <c r="E31" s="2" t="inlineStr">
        <is>
          <t>REQ_MATH_2026_001, REQ_MATH_2026_002, REQ_MATH_2026_003, REQ_MATH_2026_004</t>
        </is>
      </c>
      <c r="F31" s="2" t="inlineStr">
        <is>
          <t>LO_M1.1.2 — Prove the irrationality of numbers such as square root of 2, square root of 3, and square root of 5.</t>
        </is>
      </c>
      <c r="G31" s="2" t="inlineStr">
        <is>
          <t>Fundamental Theorem of Arithmetic</t>
        </is>
      </c>
      <c r="H31" s="2" t="inlineStr">
        <is>
          <t>A number is written as 0.12112111211112... , where the count of 1s between successive 2s increases by one each time and the pattern never repeats as a block.
Classify the number as rational or irrational and justify your answer in one line.</t>
        </is>
      </c>
      <c r="I31" s="2" t="inlineStr">
        <is>
          <t>(constructed response)</t>
        </is>
      </c>
      <c r="J31" s="2" t="inlineStr">
        <is>
          <t>Irrational, because its decimal expansion is non-terminating and non-recurring.</t>
        </is>
      </c>
      <c r="K31" s="2" t="inlineStr">
        <is>
          <t>A rational number has a terminating or eventually repeating decimal expansion; this expansion is neither.</t>
        </is>
      </c>
      <c r="L31" s="2" t="n">
        <v>3</v>
      </c>
      <c r="M31" s="2" t="inlineStr">
        <is>
          <t>Maths_SecP1X_2026-27.pdf Page 2</t>
        </is>
      </c>
      <c r="N31" s="2" t="inlineStr">
        <is>
          <t>draft / unverified / REVIEW_PENDING</t>
        </is>
      </c>
      <c r="O31" s="3" t="inlineStr"/>
      <c r="P31" s="3" t="inlineStr"/>
      <c r="Q31" s="3" t="inlineStr"/>
      <c r="R31" s="3" t="inlineStr"/>
      <c r="S31" s="3" t="inlineStr"/>
      <c r="T31" s="3" t="inlineStr"/>
      <c r="U31" s="3" t="inlineStr"/>
    </row>
    <row r="32" ht="46" customHeight="1">
      <c r="A32" s="2" t="inlineStr">
        <is>
          <t>C10-2627-MATH-REQ001-REASS-017</t>
        </is>
      </c>
      <c r="B32" s="2" t="inlineStr">
        <is>
          <t>Mathematics</t>
        </is>
      </c>
      <c r="C32" s="2" t="inlineStr">
        <is>
          <t>Number Systems</t>
        </is>
      </c>
      <c r="D32" s="2" t="inlineStr">
        <is>
          <t>Real Numbers</t>
        </is>
      </c>
      <c r="E32" s="2" t="inlineStr">
        <is>
          <t>REQ_MATH_2026_001, REQ_MATH_2026_002, REQ_MATH_2026_003, REQ_MATH_2026_004</t>
        </is>
      </c>
      <c r="F32" s="2" t="inlineStr">
        <is>
          <t>LO_M1.1.2 — Prove the irrationality of numbers such as square root of 2, square root of 3, and square root of 5.</t>
        </is>
      </c>
      <c r="G32" s="2" t="inlineStr">
        <is>
          <t>Fundamental Theorem of Arithmetic</t>
        </is>
      </c>
      <c r="H32" s="2" t="inlineStr">
        <is>
          <t>Give one example of two different irrational numbers whose product is a rational number, and state the product.</t>
        </is>
      </c>
      <c r="I32" s="2" t="inlineStr">
        <is>
          <t>(constructed response)</t>
        </is>
      </c>
      <c r="J32" s="2" t="inlineStr">
        <is>
          <t>root 2 and root 8; their product is 4.</t>
        </is>
      </c>
      <c r="K32" s="2" t="inlineStr">
        <is>
          <t>root 2 x root 8 = root 16 = 4. Any pair of the form root a and root b with ab a perfect square works.</t>
        </is>
      </c>
      <c r="L32" s="2" t="n">
        <v>3</v>
      </c>
      <c r="M32" s="2" t="inlineStr">
        <is>
          <t>Maths_SecP1X_2026-27.pdf Page 2</t>
        </is>
      </c>
      <c r="N32" s="2" t="inlineStr">
        <is>
          <t>draft / unverified / REVIEW_PENDING</t>
        </is>
      </c>
      <c r="O32" s="3" t="inlineStr"/>
      <c r="P32" s="3" t="inlineStr"/>
      <c r="Q32" s="3" t="inlineStr"/>
      <c r="R32" s="3" t="inlineStr"/>
      <c r="S32" s="3" t="inlineStr"/>
      <c r="T32" s="3" t="inlineStr"/>
      <c r="U32" s="3" t="inlineStr"/>
    </row>
    <row r="33" ht="46" customHeight="1">
      <c r="A33" s="2" t="inlineStr">
        <is>
          <t>C10-2627-MATH-REQ001-REASS-018</t>
        </is>
      </c>
      <c r="B33" s="2" t="inlineStr">
        <is>
          <t>Mathematics</t>
        </is>
      </c>
      <c r="C33" s="2" t="inlineStr">
        <is>
          <t>Number Systems</t>
        </is>
      </c>
      <c r="D33" s="2" t="inlineStr">
        <is>
          <t>Real Numbers</t>
        </is>
      </c>
      <c r="E33" s="2" t="inlineStr">
        <is>
          <t>REQ_MATH_2026_001, REQ_MATH_2026_002, REQ_MATH_2026_003, REQ_MATH_2026_004</t>
        </is>
      </c>
      <c r="F33" s="2" t="inlineStr">
        <is>
          <t>LO_M1.1.2 — Prove the irrationality of numbers such as square root of 2, square root of 3, and square root of 5.</t>
        </is>
      </c>
      <c r="G33" s="2" t="inlineStr">
        <is>
          <t>Fundamental Theorem of Arithmetic</t>
        </is>
      </c>
      <c r="H33" s="2" t="inlineStr">
        <is>
          <t>Fill in the blank: if p is a prime number and p divides a squared, then p divides ______.</t>
        </is>
      </c>
      <c r="I33" s="2" t="inlineStr">
        <is>
          <t>(constructed response)</t>
        </is>
      </c>
      <c r="J33" s="2" t="inlineStr">
        <is>
          <t>a</t>
        </is>
      </c>
      <c r="K33" s="2" t="inlineStr">
        <is>
          <t>This is the key lemma behind every irrationality proof of this type, and it follows from the uniqueness of prime factorisation.</t>
        </is>
      </c>
      <c r="L33" s="2" t="n">
        <v>2</v>
      </c>
      <c r="M33" s="2" t="inlineStr">
        <is>
          <t>Maths_SecP1X_2026-27.pdf Page 2</t>
        </is>
      </c>
      <c r="N33" s="2" t="inlineStr">
        <is>
          <t>draft / unverified / REVIEW_PENDING</t>
        </is>
      </c>
      <c r="O33" s="3" t="inlineStr"/>
      <c r="P33" s="3" t="inlineStr"/>
      <c r="Q33" s="3" t="inlineStr"/>
      <c r="R33" s="3" t="inlineStr"/>
      <c r="S33" s="3" t="inlineStr"/>
      <c r="T33" s="3" t="inlineStr"/>
      <c r="U33" s="3" t="inlineStr"/>
    </row>
    <row r="34" ht="46" customHeight="1">
      <c r="A34" s="2" t="inlineStr">
        <is>
          <t>C10-2627-MATH-REQ001-REASS-019</t>
        </is>
      </c>
      <c r="B34" s="2" t="inlineStr">
        <is>
          <t>Mathematics</t>
        </is>
      </c>
      <c r="C34" s="2" t="inlineStr">
        <is>
          <t>Number Systems</t>
        </is>
      </c>
      <c r="D34" s="2" t="inlineStr">
        <is>
          <t>Real Numbers</t>
        </is>
      </c>
      <c r="E34" s="2" t="inlineStr">
        <is>
          <t>REQ_MATH_2026_001, REQ_MATH_2026_002, REQ_MATH_2026_003, REQ_MATH_2026_004</t>
        </is>
      </c>
      <c r="F34" s="2" t="inlineStr">
        <is>
          <t>LO_M1.1.2 — Prove the irrationality of numbers such as square root of 2, square root of 3, and square root of 5.</t>
        </is>
      </c>
      <c r="G34" s="2" t="inlineStr">
        <is>
          <t>Fundamental Theorem of Arithmetic</t>
        </is>
      </c>
      <c r="H34" s="2" t="inlineStr">
        <is>
          <t>The number 1 divided by root 3 is</t>
        </is>
      </c>
      <c r="I34" s="2" t="inlineStr">
        <is>
          <t>A. an integer
B. a terminating decimal
C. irrational
D. rational</t>
        </is>
      </c>
      <c r="J34" s="2" t="inlineStr">
        <is>
          <t>irrational</t>
        </is>
      </c>
      <c r="K34" s="2" t="inlineStr">
        <is>
          <t>1 / root 3 = root 3 / 3. If it were rational then root 3 would be rational, which it is not.</t>
        </is>
      </c>
      <c r="L34" s="2" t="n">
        <v>2</v>
      </c>
      <c r="M34" s="2" t="inlineStr">
        <is>
          <t>Maths_SecP1X_2026-27.pdf Page 2</t>
        </is>
      </c>
      <c r="N34" s="2" t="inlineStr">
        <is>
          <t>draft / unverified / REVIEW_PENDING</t>
        </is>
      </c>
      <c r="O34" s="3" t="inlineStr"/>
      <c r="P34" s="3" t="inlineStr"/>
      <c r="Q34" s="3" t="inlineStr"/>
      <c r="R34" s="3" t="inlineStr"/>
      <c r="S34" s="3" t="inlineStr"/>
      <c r="T34" s="3" t="inlineStr"/>
      <c r="U34" s="3" t="inlineStr"/>
    </row>
    <row r="35" ht="46" customHeight="1">
      <c r="A35" s="2" t="inlineStr">
        <is>
          <t>C10-2627-MATH-REQ001-REASS-020</t>
        </is>
      </c>
      <c r="B35" s="2" t="inlineStr">
        <is>
          <t>Mathematics</t>
        </is>
      </c>
      <c r="C35" s="2" t="inlineStr">
        <is>
          <t>Number Systems</t>
        </is>
      </c>
      <c r="D35" s="2" t="inlineStr">
        <is>
          <t>Real Numbers</t>
        </is>
      </c>
      <c r="E35" s="2" t="inlineStr">
        <is>
          <t>REQ_MATH_2026_001, REQ_MATH_2026_002, REQ_MATH_2026_003, REQ_MATH_2026_004</t>
        </is>
      </c>
      <c r="F35" s="2" t="inlineStr">
        <is>
          <t>LO_M1.1.2 — Prove the irrationality of numbers such as square root of 2, square root of 3, and square root of 5.</t>
        </is>
      </c>
      <c r="G35" s="2" t="inlineStr">
        <is>
          <t>Fundamental Theorem of Arithmetic</t>
        </is>
      </c>
      <c r="H35" s="2" t="inlineStr">
        <is>
          <t>Given that root 2 is irrational, show that 7 root 2 is irrational.</t>
        </is>
      </c>
      <c r="I35" s="2" t="inlineStr">
        <is>
          <t>(constructed response)</t>
        </is>
      </c>
      <c r="J35" s="2" t="inlineStr">
        <is>
          <t>If 7 root 2 = r were rational then root 2 = r/7 would be rational, contradicting the given. So 7 root 2 is irrational.</t>
        </is>
      </c>
      <c r="K35" s="2" t="inlineStr">
        <is>
          <t>Dividing a rational by the non-zero rational 7 leaves it rational, which would force root 2 to be rational.</t>
        </is>
      </c>
      <c r="L35" s="2" t="n">
        <v>3</v>
      </c>
      <c r="M35" s="2" t="inlineStr">
        <is>
          <t>Maths_SecP1X_2026-27.pdf Page 2</t>
        </is>
      </c>
      <c r="N35" s="2" t="inlineStr">
        <is>
          <t>draft / unverified / REVIEW_PENDING</t>
        </is>
      </c>
      <c r="O35" s="3" t="inlineStr"/>
      <c r="P35" s="3" t="inlineStr"/>
      <c r="Q35" s="3" t="inlineStr"/>
      <c r="R35" s="3" t="inlineStr"/>
      <c r="S35" s="3" t="inlineStr"/>
      <c r="T35" s="3" t="inlineStr"/>
      <c r="U35" s="3" t="inlineStr"/>
    </row>
    <row r="36" ht="46" customHeight="1">
      <c r="A36" s="2" t="inlineStr">
        <is>
          <t>C10-2627-MATH-REQ005-DIAG-001</t>
        </is>
      </c>
      <c r="B36" s="2" t="inlineStr">
        <is>
          <t>Mathematics</t>
        </is>
      </c>
      <c r="C36" s="2" t="inlineStr">
        <is>
          <t>Algebra</t>
        </is>
      </c>
      <c r="D36" s="2" t="inlineStr">
        <is>
          <t>Polynomials</t>
        </is>
      </c>
      <c r="E36" s="2" t="inlineStr">
        <is>
          <t>REQ_MATH_2026_005, REQ_MATH_2026_006, REQ_MATH_2026_007</t>
        </is>
      </c>
      <c r="F36" s="2" t="inlineStr">
        <is>
          <t>LO_M2.1.1 — Determine zeroes geometrically and apply relationships between zeroes and coefficients of quadratic polynomials.</t>
        </is>
      </c>
      <c r="G36" s="2" t="inlineStr">
        <is>
          <t>Zeroes of a Polynomial and Relationship with Coefficients</t>
        </is>
      </c>
      <c r="H36" s="2" t="inlineStr">
        <is>
          <t>Find the zeroes of the quadratic polynomial x^2 - 7x + 10 and verify the relationship between the zeroes and the coefficients.</t>
        </is>
      </c>
      <c r="I36" s="2" t="inlineStr">
        <is>
          <t>(constructed response)</t>
        </is>
      </c>
      <c r="J36" s="2" t="inlineStr">
        <is>
          <t>Zeroes 2 and 5; sum = 7 = -b/a and product = 10 = c/a.</t>
        </is>
      </c>
      <c r="K36" s="2" t="inlineStr">
        <is>
          <t>x^2 - 7x + 10 = (x - 2)(x - 5). Sum of zeroes 2 + 5 = 7 matches -(-7)/1 and product 2 x 5 = 10 matches 10/1.</t>
        </is>
      </c>
      <c r="L36" s="2" t="n">
        <v>2</v>
      </c>
      <c r="M36" s="2" t="inlineStr">
        <is>
          <t>Maths_SecP1X_2026-27.pdf Page 2</t>
        </is>
      </c>
      <c r="N36" s="2" t="inlineStr">
        <is>
          <t>draft / unverified / REVIEW_PENDING</t>
        </is>
      </c>
      <c r="O36" s="3" t="inlineStr"/>
      <c r="P36" s="3" t="inlineStr"/>
      <c r="Q36" s="3" t="inlineStr"/>
      <c r="R36" s="3" t="inlineStr"/>
      <c r="S36" s="3" t="inlineStr"/>
      <c r="T36" s="3" t="inlineStr"/>
      <c r="U36" s="3" t="inlineStr"/>
    </row>
    <row r="37" ht="46" customHeight="1">
      <c r="A37" s="2" t="inlineStr">
        <is>
          <t>C10-2627-MATH-REQ005-DIAG-002</t>
        </is>
      </c>
      <c r="B37" s="2" t="inlineStr">
        <is>
          <t>Mathematics</t>
        </is>
      </c>
      <c r="C37" s="2" t="inlineStr">
        <is>
          <t>Algebra</t>
        </is>
      </c>
      <c r="D37" s="2" t="inlineStr">
        <is>
          <t>Polynomials</t>
        </is>
      </c>
      <c r="E37" s="2" t="inlineStr">
        <is>
          <t>REQ_MATH_2026_005, REQ_MATH_2026_006, REQ_MATH_2026_007</t>
        </is>
      </c>
      <c r="F37" s="2" t="inlineStr">
        <is>
          <t>LO_M2.1.1 — Determine zeroes geometrically and apply relationships between zeroes and coefficients of quadratic polynomials.</t>
        </is>
      </c>
      <c r="G37" s="2" t="inlineStr">
        <is>
          <t>Zeroes of a Polynomial and Relationship with Coefficients</t>
        </is>
      </c>
      <c r="H37" s="2" t="inlineStr">
        <is>
          <t>The sum of the zeroes of the polynomial 3x^2 - 5x + 2 is</t>
        </is>
      </c>
      <c r="I37" s="2" t="inlineStr">
        <is>
          <t>A. 3/5
B. 5/3
C. -5/3
D. 2/3</t>
        </is>
      </c>
      <c r="J37" s="2" t="inlineStr">
        <is>
          <t>5/3</t>
        </is>
      </c>
      <c r="K37" s="2" t="inlineStr">
        <is>
          <t>For ax^2 + bx + c the sum of the zeroes is -b/a = -(-5)/3 = 5/3.</t>
        </is>
      </c>
      <c r="L37" s="2" t="n">
        <v>2</v>
      </c>
      <c r="M37" s="2" t="inlineStr">
        <is>
          <t>Maths_SecP1X_2026-27.pdf Page 2</t>
        </is>
      </c>
      <c r="N37" s="2" t="inlineStr">
        <is>
          <t>draft / unverified / REVIEW_PENDING</t>
        </is>
      </c>
      <c r="O37" s="3" t="inlineStr"/>
      <c r="P37" s="3" t="inlineStr"/>
      <c r="Q37" s="3" t="inlineStr"/>
      <c r="R37" s="3" t="inlineStr"/>
      <c r="S37" s="3" t="inlineStr"/>
      <c r="T37" s="3" t="inlineStr"/>
      <c r="U37" s="3" t="inlineStr"/>
    </row>
    <row r="38" ht="46" customHeight="1">
      <c r="A38" s="2" t="inlineStr">
        <is>
          <t>C10-2627-MATH-REQ005-REASS-001</t>
        </is>
      </c>
      <c r="B38" s="2" t="inlineStr">
        <is>
          <t>Mathematics</t>
        </is>
      </c>
      <c r="C38" s="2" t="inlineStr">
        <is>
          <t>Algebra</t>
        </is>
      </c>
      <c r="D38" s="2" t="inlineStr">
        <is>
          <t>Polynomials</t>
        </is>
      </c>
      <c r="E38" s="2" t="inlineStr">
        <is>
          <t>REQ_MATH_2026_005, REQ_MATH_2026_006, REQ_MATH_2026_007</t>
        </is>
      </c>
      <c r="F38" s="2" t="inlineStr">
        <is>
          <t>LO_M2.1.1 — Determine zeroes geometrically and apply relationships between zeroes and coefficients of quadratic polynomials.</t>
        </is>
      </c>
      <c r="G38" s="2" t="inlineStr">
        <is>
          <t>Zeroes of a Polynomial and Relationship with Coefficients</t>
        </is>
      </c>
      <c r="H38" s="2" t="inlineStr">
        <is>
          <t>Write a quadratic polynomial whose zeroes are 3 and -5.</t>
        </is>
      </c>
      <c r="I38" s="2" t="inlineStr">
        <is>
          <t>(constructed response)</t>
        </is>
      </c>
      <c r="J38" s="2" t="inlineStr">
        <is>
          <t>x^2 + 2x - 15</t>
        </is>
      </c>
      <c r="K38" s="2" t="inlineStr">
        <is>
          <t>Sum of zeroes = -2 and product = -15, so the polynomial is x^2 - (sum)x + product = x^2 + 2x - 15.</t>
        </is>
      </c>
      <c r="L38" s="2" t="n">
        <v>3</v>
      </c>
      <c r="M38" s="2" t="inlineStr">
        <is>
          <t>Maths_SecP1X_2026-27.pdf Page 2</t>
        </is>
      </c>
      <c r="N38" s="2" t="inlineStr">
        <is>
          <t>draft / unverified / REVIEW_PENDING</t>
        </is>
      </c>
      <c r="O38" s="3" t="inlineStr"/>
      <c r="P38" s="3" t="inlineStr"/>
      <c r="Q38" s="3" t="inlineStr"/>
      <c r="R38" s="3" t="inlineStr"/>
      <c r="S38" s="3" t="inlineStr"/>
      <c r="T38" s="3" t="inlineStr"/>
      <c r="U38" s="3" t="inlineStr"/>
    </row>
    <row r="39" ht="46" customHeight="1">
      <c r="A39" s="2" t="inlineStr">
        <is>
          <t>C10-2627-MATH-REQ005-REASS-002</t>
        </is>
      </c>
      <c r="B39" s="2" t="inlineStr">
        <is>
          <t>Mathematics</t>
        </is>
      </c>
      <c r="C39" s="2" t="inlineStr">
        <is>
          <t>Algebra</t>
        </is>
      </c>
      <c r="D39" s="2" t="inlineStr">
        <is>
          <t>Polynomials</t>
        </is>
      </c>
      <c r="E39" s="2" t="inlineStr">
        <is>
          <t>REQ_MATH_2026_005, REQ_MATH_2026_006, REQ_MATH_2026_007</t>
        </is>
      </c>
      <c r="F39" s="2" t="inlineStr">
        <is>
          <t>LO_M2.1.1 — Determine zeroes geometrically and apply relationships between zeroes and coefficients of quadratic polynomials.</t>
        </is>
      </c>
      <c r="G39" s="2" t="inlineStr">
        <is>
          <t>Zeroes of a Polynomial and Relationship with Coefficients</t>
        </is>
      </c>
      <c r="H39" s="2" t="inlineStr">
        <is>
          <t>The product of the zeroes of 2x^2 + 7x - 9 is</t>
        </is>
      </c>
      <c r="I39" s="2" t="inlineStr">
        <is>
          <t>A. 9/2
B. -7/2
C. 7/2
D. -9/2</t>
        </is>
      </c>
      <c r="J39" s="2" t="inlineStr">
        <is>
          <t>-9/2</t>
        </is>
      </c>
      <c r="K39" s="2" t="inlineStr">
        <is>
          <t>For ax^2 + bx + c the product of the zeroes is c/a = -9/2.</t>
        </is>
      </c>
      <c r="L39" s="2" t="n">
        <v>2</v>
      </c>
      <c r="M39" s="2" t="inlineStr">
        <is>
          <t>Maths_SecP1X_2026-27.pdf Page 2</t>
        </is>
      </c>
      <c r="N39" s="2" t="inlineStr">
        <is>
          <t>draft / unverified / REVIEW_PENDING</t>
        </is>
      </c>
      <c r="O39" s="3" t="inlineStr"/>
      <c r="P39" s="3" t="inlineStr"/>
      <c r="Q39" s="3" t="inlineStr"/>
      <c r="R39" s="3" t="inlineStr"/>
      <c r="S39" s="3" t="inlineStr"/>
      <c r="T39" s="3" t="inlineStr"/>
      <c r="U39" s="3" t="inlineStr"/>
    </row>
    <row r="40" ht="46" customHeight="1">
      <c r="A40" s="2" t="inlineStr">
        <is>
          <t>C10-2627-MATH-REQ005-REASS-003</t>
        </is>
      </c>
      <c r="B40" s="2" t="inlineStr">
        <is>
          <t>Mathematics</t>
        </is>
      </c>
      <c r="C40" s="2" t="inlineStr">
        <is>
          <t>Algebra</t>
        </is>
      </c>
      <c r="D40" s="2" t="inlineStr">
        <is>
          <t>Polynomials</t>
        </is>
      </c>
      <c r="E40" s="2" t="inlineStr">
        <is>
          <t>REQ_MATH_2026_005, REQ_MATH_2026_006, REQ_MATH_2026_007</t>
        </is>
      </c>
      <c r="F40" s="2" t="inlineStr">
        <is>
          <t>LO_M2.1.1 — Determine zeroes geometrically and apply relationships between zeroes and coefficients of quadratic polynomials.</t>
        </is>
      </c>
      <c r="G40" s="2" t="inlineStr">
        <is>
          <t>Zeroes of a Polynomial and Relationship with Coefficients</t>
        </is>
      </c>
      <c r="H40" s="2" t="inlineStr">
        <is>
          <t>One zero of the polynomial x^2 - kx + 8 is 2. Find the value of k and the other zero.</t>
        </is>
      </c>
      <c r="I40" s="2" t="inlineStr">
        <is>
          <t>(constructed response)</t>
        </is>
      </c>
      <c r="J40" s="2" t="inlineStr">
        <is>
          <t>k = 6 and the other zero is 4.</t>
        </is>
      </c>
      <c r="K40" s="2" t="inlineStr">
        <is>
          <t>Product of the zeroes is 8, so the other zero is 8/2 = 4. The sum 2 + 4 = 6 equals k.</t>
        </is>
      </c>
      <c r="L40" s="2" t="n">
        <v>3</v>
      </c>
      <c r="M40" s="2" t="inlineStr">
        <is>
          <t>Maths_SecP1X_2026-27.pdf Page 2</t>
        </is>
      </c>
      <c r="N40" s="2" t="inlineStr">
        <is>
          <t>draft / unverified / REVIEW_PENDING</t>
        </is>
      </c>
      <c r="O40" s="3" t="inlineStr"/>
      <c r="P40" s="3" t="inlineStr"/>
      <c r="Q40" s="3" t="inlineStr"/>
      <c r="R40" s="3" t="inlineStr"/>
      <c r="S40" s="3" t="inlineStr"/>
      <c r="T40" s="3" t="inlineStr"/>
      <c r="U40" s="3" t="inlineStr"/>
    </row>
    <row r="41" ht="46" customHeight="1">
      <c r="A41" s="2" t="inlineStr">
        <is>
          <t>C10-2627-MATH-REQ005-REASS-004</t>
        </is>
      </c>
      <c r="B41" s="2" t="inlineStr">
        <is>
          <t>Mathematics</t>
        </is>
      </c>
      <c r="C41" s="2" t="inlineStr">
        <is>
          <t>Algebra</t>
        </is>
      </c>
      <c r="D41" s="2" t="inlineStr">
        <is>
          <t>Polynomials</t>
        </is>
      </c>
      <c r="E41" s="2" t="inlineStr">
        <is>
          <t>REQ_MATH_2026_005, REQ_MATH_2026_006, REQ_MATH_2026_007</t>
        </is>
      </c>
      <c r="F41" s="2" t="inlineStr">
        <is>
          <t>LO_M2.1.1 — Determine zeroes geometrically and apply relationships between zeroes and coefficients of quadratic polynomials.</t>
        </is>
      </c>
      <c r="G41" s="2" t="inlineStr">
        <is>
          <t>Zeroes of a Polynomial and Relationship with Coefficients</t>
        </is>
      </c>
      <c r="H41" s="2" t="inlineStr">
        <is>
          <t>Assertion (A): A quadratic polynomial has at most two zeroes.
Reason (R): The graph of a quadratic polynomial can cut the x-axis in at most two points.
Choose the correct option.</t>
        </is>
      </c>
      <c r="I41" s="2" t="inlineStr">
        <is>
          <t>A. Both A and R are true and R is the correct explanation of A.
B. Both A and R are true but R is not the correct explanation of A.
C. A is true but R is false.
D. A is false but R is true.</t>
        </is>
      </c>
      <c r="J41" s="2" t="inlineStr">
        <is>
          <t>Both A and R are true and R is the correct explanation of A.</t>
        </is>
      </c>
      <c r="K41" s="2" t="inlineStr">
        <is>
          <t>The zeroes are exactly the x-intercepts of the parabola, and a parabola meets a line in at most two points.</t>
        </is>
      </c>
      <c r="L41" s="2" t="n">
        <v>2</v>
      </c>
      <c r="M41" s="2" t="inlineStr">
        <is>
          <t>Maths_SecP1X_2026-27.pdf Page 2</t>
        </is>
      </c>
      <c r="N41" s="2" t="inlineStr">
        <is>
          <t>draft / unverified / REVIEW_PENDING</t>
        </is>
      </c>
      <c r="O41" s="3" t="inlineStr"/>
      <c r="P41" s="3" t="inlineStr"/>
      <c r="Q41" s="3" t="inlineStr"/>
      <c r="R41" s="3" t="inlineStr"/>
      <c r="S41" s="3" t="inlineStr"/>
      <c r="T41" s="3" t="inlineStr"/>
      <c r="U41" s="3" t="inlineStr"/>
    </row>
    <row r="42" ht="46" customHeight="1">
      <c r="A42" s="2" t="inlineStr">
        <is>
          <t>C10-2627-MATH-REQ005-REASS-005</t>
        </is>
      </c>
      <c r="B42" s="2" t="inlineStr">
        <is>
          <t>Mathematics</t>
        </is>
      </c>
      <c r="C42" s="2" t="inlineStr">
        <is>
          <t>Algebra</t>
        </is>
      </c>
      <c r="D42" s="2" t="inlineStr">
        <is>
          <t>Polynomials</t>
        </is>
      </c>
      <c r="E42" s="2" t="inlineStr">
        <is>
          <t>REQ_MATH_2026_005, REQ_MATH_2026_006, REQ_MATH_2026_007</t>
        </is>
      </c>
      <c r="F42" s="2" t="inlineStr">
        <is>
          <t>LO_M2.1.1 — Determine zeroes geometrically and apply relationships between zeroes and coefficients of quadratic polynomials.</t>
        </is>
      </c>
      <c r="G42" s="2" t="inlineStr">
        <is>
          <t>Zeroes of a Polynomial and Relationship with Coefficients</t>
        </is>
      </c>
      <c r="H42" s="2" t="inlineStr">
        <is>
          <t>The graph of a quadratic polynomial p(x) with leading coefficient 1 cuts the x-axis at exactly two points, at x = -1 and x = 4.
Write p(x) in expanded form and state the sum of its zeroes.</t>
        </is>
      </c>
      <c r="I42" s="2" t="inlineStr">
        <is>
          <t>(constructed response)</t>
        </is>
      </c>
      <c r="J42" s="2" t="inlineStr">
        <is>
          <t>p(x) = x^2 - 3x - 4; sum of zeroes = 3.</t>
        </is>
      </c>
      <c r="K42" s="2" t="inlineStr">
        <is>
          <t>The x-intercepts are the zeroes, so p(x) = (x + 1)(x - 4) = x^2 - 3x - 4, and the sum -1 + 4 = 3 equals -b/a.</t>
        </is>
      </c>
      <c r="L42" s="2" t="n">
        <v>3</v>
      </c>
      <c r="M42" s="2" t="inlineStr">
        <is>
          <t>Maths_SecP1X_2026-27.pdf Page 2</t>
        </is>
      </c>
      <c r="N42" s="2" t="inlineStr">
        <is>
          <t>draft / unverified / REVIEW_PENDING</t>
        </is>
      </c>
      <c r="O42" s="3" t="inlineStr"/>
      <c r="P42" s="3" t="inlineStr"/>
      <c r="Q42" s="3" t="inlineStr"/>
      <c r="R42" s="3" t="inlineStr"/>
      <c r="S42" s="3" t="inlineStr"/>
      <c r="T42" s="3" t="inlineStr"/>
      <c r="U42" s="3" t="inlineStr"/>
    </row>
    <row r="43" ht="46" customHeight="1">
      <c r="A43" s="2" t="inlineStr">
        <is>
          <t>C10-2627-MATH-REQ008-DIAG-001</t>
        </is>
      </c>
      <c r="B43" s="2" t="inlineStr">
        <is>
          <t>Mathematics</t>
        </is>
      </c>
      <c r="C43" s="2" t="inlineStr">
        <is>
          <t>Algebra</t>
        </is>
      </c>
      <c r="D43" s="2" t="inlineStr">
        <is>
          <t>Pair of Linear Equations in Two Variables</t>
        </is>
      </c>
      <c r="E43" s="2" t="inlineStr">
        <is>
          <t>REQ_MATH_2026_008, REQ_MATH_2026_009, REQ_MATH_2026_010, REQ_MATH_2026_011, REQ_MATH_2026_012</t>
        </is>
      </c>
      <c r="F43" s="2" t="inlineStr">
        <is>
          <t>LO_M3.1.1 — Analyze consistency conditions and solve system of linear equations using Substitution and Elimination methods.</t>
        </is>
      </c>
      <c r="G43" s="2" t="inlineStr">
        <is>
          <t>Algebraic and Graphical Solutions</t>
        </is>
      </c>
      <c r="H43" s="2" t="inlineStr">
        <is>
          <t>Solve by the substitution method: 3x + 2y = 18 and x - y = 1.</t>
        </is>
      </c>
      <c r="I43" s="2" t="inlineStr">
        <is>
          <t>(constructed response)</t>
        </is>
      </c>
      <c r="J43" s="2" t="inlineStr">
        <is>
          <t>x = 4, y = 3</t>
        </is>
      </c>
      <c r="K43" s="2" t="inlineStr">
        <is>
          <t>From x - y = 1 we get x = y + 1. Substituting: 3(y + 1) + 2y = 18, so 5y = 15, y = 3 and x = 4.</t>
        </is>
      </c>
      <c r="L43" s="2" t="n">
        <v>3</v>
      </c>
      <c r="M43" s="2" t="inlineStr">
        <is>
          <t>Maths_SecP1X_2026-27.pdf Page 2</t>
        </is>
      </c>
      <c r="N43" s="2" t="inlineStr">
        <is>
          <t>draft / unverified / REVIEW_PENDING</t>
        </is>
      </c>
      <c r="O43" s="3" t="inlineStr"/>
      <c r="P43" s="3" t="inlineStr"/>
      <c r="Q43" s="3" t="inlineStr"/>
      <c r="R43" s="3" t="inlineStr"/>
      <c r="S43" s="3" t="inlineStr"/>
      <c r="T43" s="3" t="inlineStr"/>
      <c r="U43" s="3" t="inlineStr"/>
    </row>
    <row r="44" ht="46" customHeight="1">
      <c r="A44" s="2" t="inlineStr">
        <is>
          <t>C10-2627-MATH-REQ008-DIAG-002</t>
        </is>
      </c>
      <c r="B44" s="2" t="inlineStr">
        <is>
          <t>Mathematics</t>
        </is>
      </c>
      <c r="C44" s="2" t="inlineStr">
        <is>
          <t>Algebra</t>
        </is>
      </c>
      <c r="D44" s="2" t="inlineStr">
        <is>
          <t>Pair of Linear Equations in Two Variables</t>
        </is>
      </c>
      <c r="E44" s="2" t="inlineStr">
        <is>
          <t>REQ_MATH_2026_008, REQ_MATH_2026_009, REQ_MATH_2026_010, REQ_MATH_2026_011, REQ_MATH_2026_012</t>
        </is>
      </c>
      <c r="F44" s="2" t="inlineStr">
        <is>
          <t>LO_M3.1.1 — Analyze consistency conditions and solve system of linear equations using Substitution and Elimination methods.</t>
        </is>
      </c>
      <c r="G44" s="2" t="inlineStr">
        <is>
          <t>Algebraic and Graphical Solutions</t>
        </is>
      </c>
      <c r="H44" s="2" t="inlineStr">
        <is>
          <t>The pair of equations 2x + 3y = 7 and 4x + 6y = 14 has</t>
        </is>
      </c>
      <c r="I44" s="2" t="inlineStr">
        <is>
          <t>A. exactly two solutions
B. infinitely many solutions
C. exactly one solution
D. no solution</t>
        </is>
      </c>
      <c r="J44" s="2" t="inlineStr">
        <is>
          <t>infinitely many solutions</t>
        </is>
      </c>
      <c r="K44" s="2" t="inlineStr">
        <is>
          <t>Here a1/a2 = b1/b2 = c1/c2 = 1/2, so the two lines coincide and every point on the line is a solution.</t>
        </is>
      </c>
      <c r="L44" s="2" t="n">
        <v>2</v>
      </c>
      <c r="M44" s="2" t="inlineStr">
        <is>
          <t>Maths_SecP1X_2026-27.pdf Page 2</t>
        </is>
      </c>
      <c r="N44" s="2" t="inlineStr">
        <is>
          <t>draft / unverified / REVIEW_PENDING</t>
        </is>
      </c>
      <c r="O44" s="3" t="inlineStr"/>
      <c r="P44" s="3" t="inlineStr"/>
      <c r="Q44" s="3" t="inlineStr"/>
      <c r="R44" s="3" t="inlineStr"/>
      <c r="S44" s="3" t="inlineStr"/>
      <c r="T44" s="3" t="inlineStr"/>
      <c r="U44" s="3" t="inlineStr"/>
    </row>
    <row r="45" ht="46" customHeight="1">
      <c r="A45" s="2" t="inlineStr">
        <is>
          <t>C10-2627-MATH-REQ008-REASS-001</t>
        </is>
      </c>
      <c r="B45" s="2" t="inlineStr">
        <is>
          <t>Mathematics</t>
        </is>
      </c>
      <c r="C45" s="2" t="inlineStr">
        <is>
          <t>Algebra</t>
        </is>
      </c>
      <c r="D45" s="2" t="inlineStr">
        <is>
          <t>Pair of Linear Equations in Two Variables</t>
        </is>
      </c>
      <c r="E45" s="2" t="inlineStr">
        <is>
          <t>REQ_MATH_2026_008, REQ_MATH_2026_009, REQ_MATH_2026_010, REQ_MATH_2026_011, REQ_MATH_2026_012</t>
        </is>
      </c>
      <c r="F45" s="2" t="inlineStr">
        <is>
          <t>LO_M3.1.1 — Analyze consistency conditions and solve system of linear equations using Substitution and Elimination methods.</t>
        </is>
      </c>
      <c r="G45" s="2" t="inlineStr">
        <is>
          <t>Algebraic and Graphical Solutions</t>
        </is>
      </c>
      <c r="H45" s="2" t="inlineStr">
        <is>
          <t>Solve by the elimination method: 3x + 4y = 10 and 2x - 2y = 2.</t>
        </is>
      </c>
      <c r="I45" s="2" t="inlineStr">
        <is>
          <t>(constructed response)</t>
        </is>
      </c>
      <c r="J45" s="2" t="inlineStr">
        <is>
          <t>x = 2, y = 1</t>
        </is>
      </c>
      <c r="K45" s="2" t="inlineStr">
        <is>
          <t>Doubling the second equation gives 4x - 4y = 4. Adding to the first gives 7x = 14, so x = 2 and then y = 1.</t>
        </is>
      </c>
      <c r="L45" s="2" t="n">
        <v>3</v>
      </c>
      <c r="M45" s="2" t="inlineStr">
        <is>
          <t>Maths_SecP1X_2026-27.pdf Page 2</t>
        </is>
      </c>
      <c r="N45" s="2" t="inlineStr">
        <is>
          <t>draft / unverified / REVIEW_PENDING</t>
        </is>
      </c>
      <c r="O45" s="3" t="inlineStr"/>
      <c r="P45" s="3" t="inlineStr"/>
      <c r="Q45" s="3" t="inlineStr"/>
      <c r="R45" s="3" t="inlineStr"/>
      <c r="S45" s="3" t="inlineStr"/>
      <c r="T45" s="3" t="inlineStr"/>
      <c r="U45" s="3" t="inlineStr"/>
    </row>
    <row r="46" ht="46" customHeight="1">
      <c r="A46" s="2" t="inlineStr">
        <is>
          <t>C10-2627-MATH-REQ008-REASS-002</t>
        </is>
      </c>
      <c r="B46" s="2" t="inlineStr">
        <is>
          <t>Mathematics</t>
        </is>
      </c>
      <c r="C46" s="2" t="inlineStr">
        <is>
          <t>Algebra</t>
        </is>
      </c>
      <c r="D46" s="2" t="inlineStr">
        <is>
          <t>Pair of Linear Equations in Two Variables</t>
        </is>
      </c>
      <c r="E46" s="2" t="inlineStr">
        <is>
          <t>REQ_MATH_2026_008, REQ_MATH_2026_009, REQ_MATH_2026_010, REQ_MATH_2026_011, REQ_MATH_2026_012</t>
        </is>
      </c>
      <c r="F46" s="2" t="inlineStr">
        <is>
          <t>LO_M3.1.1 — Analyze consistency conditions and solve system of linear equations using Substitution and Elimination methods.</t>
        </is>
      </c>
      <c r="G46" s="2" t="inlineStr">
        <is>
          <t>Algebraic and Graphical Solutions</t>
        </is>
      </c>
      <c r="H46" s="2" t="inlineStr">
        <is>
          <t>For which value of k does the pair kx + 3y = 6 and 12x + 9y = 15 have no solution?</t>
        </is>
      </c>
      <c r="I46" s="2" t="inlineStr">
        <is>
          <t>A. 6
B. 9
C. 4
D. 3</t>
        </is>
      </c>
      <c r="J46" s="2" t="inlineStr">
        <is>
          <t>4</t>
        </is>
      </c>
      <c r="K46" s="2" t="inlineStr">
        <is>
          <t>No solution needs a1/a2 = b1/b2 but not equal to c1/c2. From k/12 = 3/9 we get k = 4, and 6/15 is not 1/3, so the lines are parallel.</t>
        </is>
      </c>
      <c r="L46" s="2" t="n">
        <v>3</v>
      </c>
      <c r="M46" s="2" t="inlineStr">
        <is>
          <t>Maths_SecP1X_2026-27.pdf Page 2</t>
        </is>
      </c>
      <c r="N46" s="2" t="inlineStr">
        <is>
          <t>draft / unverified / REVIEW_PENDING</t>
        </is>
      </c>
      <c r="O46" s="3" t="inlineStr"/>
      <c r="P46" s="3" t="inlineStr"/>
      <c r="Q46" s="3" t="inlineStr"/>
      <c r="R46" s="3" t="inlineStr"/>
      <c r="S46" s="3" t="inlineStr"/>
      <c r="T46" s="3" t="inlineStr"/>
      <c r="U46" s="3" t="inlineStr"/>
    </row>
    <row r="47" ht="46" customHeight="1">
      <c r="A47" s="2" t="inlineStr">
        <is>
          <t>C10-2627-MATH-REQ008-REASS-003</t>
        </is>
      </c>
      <c r="B47" s="2" t="inlineStr">
        <is>
          <t>Mathematics</t>
        </is>
      </c>
      <c r="C47" s="2" t="inlineStr">
        <is>
          <t>Algebra</t>
        </is>
      </c>
      <c r="D47" s="2" t="inlineStr">
        <is>
          <t>Pair of Linear Equations in Two Variables</t>
        </is>
      </c>
      <c r="E47" s="2" t="inlineStr">
        <is>
          <t>REQ_MATH_2026_008, REQ_MATH_2026_009, REQ_MATH_2026_010, REQ_MATH_2026_011, REQ_MATH_2026_012</t>
        </is>
      </c>
      <c r="F47" s="2" t="inlineStr">
        <is>
          <t>LO_M3.1.1 — Analyze consistency conditions and solve system of linear equations using Substitution and Elimination methods.</t>
        </is>
      </c>
      <c r="G47" s="2" t="inlineStr">
        <is>
          <t>Algebraic and Graphical Solutions</t>
        </is>
      </c>
      <c r="H47" s="2" t="inlineStr">
        <is>
          <t>At a stationery counter, 2 pens and 3 notebooks cost 190 rupees, while 4 pens and 5 notebooks cost 340 rupees. Each pen has the same price and each notebook has the same price.
Find the price of one pen and one notebook.</t>
        </is>
      </c>
      <c r="I47" s="2" t="inlineStr">
        <is>
          <t>(constructed response)</t>
        </is>
      </c>
      <c r="J47" s="2" t="inlineStr">
        <is>
          <t>Pen 35 rupees, notebook 40 rupees</t>
        </is>
      </c>
      <c r="K47" s="2" t="inlineStr">
        <is>
          <t>Doubling the first equation gives 4p + 6n = 380. Subtracting the second gives n = 40, and then 2p = 190 - 120, so p = 35.</t>
        </is>
      </c>
      <c r="L47" s="2" t="n">
        <v>3</v>
      </c>
      <c r="M47" s="2" t="inlineStr">
        <is>
          <t>Maths_SecP1X_2026-27.pdf Page 2</t>
        </is>
      </c>
      <c r="N47" s="2" t="inlineStr">
        <is>
          <t>draft / unverified / REVIEW_PENDING</t>
        </is>
      </c>
      <c r="O47" s="3" t="inlineStr"/>
      <c r="P47" s="3" t="inlineStr"/>
      <c r="Q47" s="3" t="inlineStr"/>
      <c r="R47" s="3" t="inlineStr"/>
      <c r="S47" s="3" t="inlineStr"/>
      <c r="T47" s="3" t="inlineStr"/>
      <c r="U47" s="3" t="inlineStr"/>
    </row>
    <row r="48" ht="46" customHeight="1">
      <c r="A48" s="2" t="inlineStr">
        <is>
          <t>C10-2627-MATH-REQ008-REASS-004</t>
        </is>
      </c>
      <c r="B48" s="2" t="inlineStr">
        <is>
          <t>Mathematics</t>
        </is>
      </c>
      <c r="C48" s="2" t="inlineStr">
        <is>
          <t>Algebra</t>
        </is>
      </c>
      <c r="D48" s="2" t="inlineStr">
        <is>
          <t>Pair of Linear Equations in Two Variables</t>
        </is>
      </c>
      <c r="E48" s="2" t="inlineStr">
        <is>
          <t>REQ_MATH_2026_008, REQ_MATH_2026_009, REQ_MATH_2026_010, REQ_MATH_2026_011, REQ_MATH_2026_012</t>
        </is>
      </c>
      <c r="F48" s="2" t="inlineStr">
        <is>
          <t>LO_M3.1.1 — Analyze consistency conditions and solve system of linear equations using Substitution and Elimination methods.</t>
        </is>
      </c>
      <c r="G48" s="2" t="inlineStr">
        <is>
          <t>Algebraic and Graphical Solutions</t>
        </is>
      </c>
      <c r="H48" s="2" t="inlineStr">
        <is>
          <t>A father is three times as old as his son. Eight years from now he will be twice as old as his son. Find their present ages.</t>
        </is>
      </c>
      <c r="I48" s="2" t="inlineStr">
        <is>
          <t>(constructed response)</t>
        </is>
      </c>
      <c r="J48" s="2" t="inlineStr">
        <is>
          <t>Son 8 years, father 24 years</t>
        </is>
      </c>
      <c r="K48" s="2" t="inlineStr">
        <is>
          <t>With f = 3s and f + 8 = 2(s + 8): 3s + 8 = 2s + 16, so s = 8 and f = 24.</t>
        </is>
      </c>
      <c r="L48" s="2" t="n">
        <v>3</v>
      </c>
      <c r="M48" s="2" t="inlineStr">
        <is>
          <t>Maths_SecP1X_2026-27.pdf Page 2</t>
        </is>
      </c>
      <c r="N48" s="2" t="inlineStr">
        <is>
          <t>draft / unverified / REVIEW_PENDING</t>
        </is>
      </c>
      <c r="O48" s="3" t="inlineStr"/>
      <c r="P48" s="3" t="inlineStr"/>
      <c r="Q48" s="3" t="inlineStr"/>
      <c r="R48" s="3" t="inlineStr"/>
      <c r="S48" s="3" t="inlineStr"/>
      <c r="T48" s="3" t="inlineStr"/>
      <c r="U48" s="3" t="inlineStr"/>
    </row>
    <row r="49" ht="46" customHeight="1">
      <c r="A49" s="2" t="inlineStr">
        <is>
          <t>C10-2627-MATH-REQ008-REASS-005</t>
        </is>
      </c>
      <c r="B49" s="2" t="inlineStr">
        <is>
          <t>Mathematics</t>
        </is>
      </c>
      <c r="C49" s="2" t="inlineStr">
        <is>
          <t>Algebra</t>
        </is>
      </c>
      <c r="D49" s="2" t="inlineStr">
        <is>
          <t>Pair of Linear Equations in Two Variables</t>
        </is>
      </c>
      <c r="E49" s="2" t="inlineStr">
        <is>
          <t>REQ_MATH_2026_008, REQ_MATH_2026_009, REQ_MATH_2026_010, REQ_MATH_2026_011, REQ_MATH_2026_012</t>
        </is>
      </c>
      <c r="F49" s="2" t="inlineStr">
        <is>
          <t>LO_M3.1.1 — Analyze consistency conditions and solve system of linear equations using Substitution and Elimination methods.</t>
        </is>
      </c>
      <c r="G49" s="2" t="inlineStr">
        <is>
          <t>Algebraic and Graphical Solutions</t>
        </is>
      </c>
      <c r="H49" s="2" t="inlineStr">
        <is>
          <t>Assertion (A): The pair x + 2y = 5 and 2x + 4y = 11 has no solution.
Reason (R): Two lines with the same ratio of coefficients of x and y but a different constant ratio are parallel.
Choose the correct option.</t>
        </is>
      </c>
      <c r="I49" s="2" t="inlineStr">
        <is>
          <t>A. Both A and R are true and R is the correct explanation of A.
B. Both A and R are true but R is not the correct explanation of A.
C. A is true but R is false.
D. A is false but R is true.</t>
        </is>
      </c>
      <c r="J49" s="2" t="inlineStr">
        <is>
          <t>Both A and R are true and R is the correct explanation of A.</t>
        </is>
      </c>
      <c r="K49" s="2" t="inlineStr">
        <is>
          <t>Here 1/2 = 2/4 but 5/11 differs, so the lines are parallel and never meet, exactly as the reason states.</t>
        </is>
      </c>
      <c r="L49" s="2" t="n">
        <v>3</v>
      </c>
      <c r="M49" s="2" t="inlineStr">
        <is>
          <t>Maths_SecP1X_2026-27.pdf Page 2</t>
        </is>
      </c>
      <c r="N49" s="2" t="inlineStr">
        <is>
          <t>draft / unverified / REVIEW_PENDING</t>
        </is>
      </c>
      <c r="O49" s="3" t="inlineStr"/>
      <c r="P49" s="3" t="inlineStr"/>
      <c r="Q49" s="3" t="inlineStr"/>
      <c r="R49" s="3" t="inlineStr"/>
      <c r="S49" s="3" t="inlineStr"/>
      <c r="T49" s="3" t="inlineStr"/>
      <c r="U49" s="3" t="inlineStr"/>
    </row>
    <row r="50" ht="46" customHeight="1">
      <c r="A50" s="2" t="inlineStr">
        <is>
          <t>C10-2627-MATH-REQ013-DIAG-001</t>
        </is>
      </c>
      <c r="B50" s="2" t="inlineStr">
        <is>
          <t>Mathematics</t>
        </is>
      </c>
      <c r="C50" s="2" t="inlineStr">
        <is>
          <t>Algebra</t>
        </is>
      </c>
      <c r="D50" s="2" t="inlineStr">
        <is>
          <t>Quadratic Equations</t>
        </is>
      </c>
      <c r="E50" s="2" t="inlineStr">
        <is>
          <t>REQ_MATH_2026_013, REQ_MATH_2026_014, REQ_MATH_2026_015, REQ_MATH_2026_016, REQ_MATH_2026_017</t>
        </is>
      </c>
      <c r="F50" s="2" t="inlineStr">
        <is>
          <t>LO_M4.1.1 — Solve quadratic equations using factorization and quadratic formula, and determine nature of roots using discriminant.</t>
        </is>
      </c>
      <c r="G50" s="2" t="inlineStr">
        <is>
          <t>Solution of Quadratic Equations and Discriminant</t>
        </is>
      </c>
      <c r="H50" s="2" t="inlineStr">
        <is>
          <t>Solve x^2 - 5x + 6 = 0 by factorisation.</t>
        </is>
      </c>
      <c r="I50" s="2" t="inlineStr">
        <is>
          <t>(constructed response)</t>
        </is>
      </c>
      <c r="J50" s="2" t="inlineStr">
        <is>
          <t>x = 2 or x = 3</t>
        </is>
      </c>
      <c r="K50" s="2" t="inlineStr">
        <is>
          <t>x^2 - 5x + 6 = (x - 2)(x - 3), so the roots are 2 and 3.</t>
        </is>
      </c>
      <c r="L50" s="2" t="n">
        <v>2</v>
      </c>
      <c r="M50" s="2" t="inlineStr">
        <is>
          <t>Maths_SecP1X_2026-27.pdf Page 3</t>
        </is>
      </c>
      <c r="N50" s="2" t="inlineStr">
        <is>
          <t>draft / unverified / REVIEW_PENDING</t>
        </is>
      </c>
      <c r="O50" s="3" t="inlineStr"/>
      <c r="P50" s="3" t="inlineStr"/>
      <c r="Q50" s="3" t="inlineStr"/>
      <c r="R50" s="3" t="inlineStr"/>
      <c r="S50" s="3" t="inlineStr"/>
      <c r="T50" s="3" t="inlineStr"/>
      <c r="U50" s="3" t="inlineStr"/>
    </row>
    <row r="51" ht="46" customHeight="1">
      <c r="A51" s="2" t="inlineStr">
        <is>
          <t>C10-2627-MATH-REQ013-DIAG-002</t>
        </is>
      </c>
      <c r="B51" s="2" t="inlineStr">
        <is>
          <t>Mathematics</t>
        </is>
      </c>
      <c r="C51" s="2" t="inlineStr">
        <is>
          <t>Algebra</t>
        </is>
      </c>
      <c r="D51" s="2" t="inlineStr">
        <is>
          <t>Quadratic Equations</t>
        </is>
      </c>
      <c r="E51" s="2" t="inlineStr">
        <is>
          <t>REQ_MATH_2026_013, REQ_MATH_2026_014, REQ_MATH_2026_015, REQ_MATH_2026_016, REQ_MATH_2026_017</t>
        </is>
      </c>
      <c r="F51" s="2" t="inlineStr">
        <is>
          <t>LO_M4.1.1 — Solve quadratic equations using factorization and quadratic formula, and determine nature of roots using discriminant.</t>
        </is>
      </c>
      <c r="G51" s="2" t="inlineStr">
        <is>
          <t>Solution of Quadratic Equations and Discriminant</t>
        </is>
      </c>
      <c r="H51" s="2" t="inlineStr">
        <is>
          <t>The nature of the roots of 2x^2 - 4x + 3 = 0 is</t>
        </is>
      </c>
      <c r="I51" s="2" t="inlineStr">
        <is>
          <t>A. two equal real roots
B. exactly one real root
C. no real roots
D. two distinct real roots</t>
        </is>
      </c>
      <c r="J51" s="2" t="inlineStr">
        <is>
          <t>no real roots</t>
        </is>
      </c>
      <c r="K51" s="2" t="inlineStr">
        <is>
          <t>The discriminant is (-4)^2 - 4(2)(3) = 16 - 24 = -8, which is negative, so there are no real roots.</t>
        </is>
      </c>
      <c r="L51" s="2" t="n">
        <v>2</v>
      </c>
      <c r="M51" s="2" t="inlineStr">
        <is>
          <t>Maths_SecP1X_2026-27.pdf Page 3</t>
        </is>
      </c>
      <c r="N51" s="2" t="inlineStr">
        <is>
          <t>draft / unverified / REVIEW_PENDING</t>
        </is>
      </c>
      <c r="O51" s="3" t="inlineStr"/>
      <c r="P51" s="3" t="inlineStr"/>
      <c r="Q51" s="3" t="inlineStr"/>
      <c r="R51" s="3" t="inlineStr"/>
      <c r="S51" s="3" t="inlineStr"/>
      <c r="T51" s="3" t="inlineStr"/>
      <c r="U51" s="3" t="inlineStr"/>
    </row>
    <row r="52" ht="46" customHeight="1">
      <c r="A52" s="2" t="inlineStr">
        <is>
          <t>C10-2627-MATH-REQ013-REASS-001</t>
        </is>
      </c>
      <c r="B52" s="2" t="inlineStr">
        <is>
          <t>Mathematics</t>
        </is>
      </c>
      <c r="C52" s="2" t="inlineStr">
        <is>
          <t>Algebra</t>
        </is>
      </c>
      <c r="D52" s="2" t="inlineStr">
        <is>
          <t>Quadratic Equations</t>
        </is>
      </c>
      <c r="E52" s="2" t="inlineStr">
        <is>
          <t>REQ_MATH_2026_013, REQ_MATH_2026_014, REQ_MATH_2026_015, REQ_MATH_2026_016, REQ_MATH_2026_017</t>
        </is>
      </c>
      <c r="F52" s="2" t="inlineStr">
        <is>
          <t>LO_M4.1.1 — Solve quadratic equations using factorization and quadratic formula, and determine nature of roots using discriminant.</t>
        </is>
      </c>
      <c r="G52" s="2" t="inlineStr">
        <is>
          <t>Solution of Quadratic Equations and Discriminant</t>
        </is>
      </c>
      <c r="H52" s="2" t="inlineStr">
        <is>
          <t>Solve 2x^2 + x - 6 = 0 using the quadratic formula.</t>
        </is>
      </c>
      <c r="I52" s="2" t="inlineStr">
        <is>
          <t>(constructed response)</t>
        </is>
      </c>
      <c r="J52" s="2" t="inlineStr">
        <is>
          <t>x = 3/2 or x = -2</t>
        </is>
      </c>
      <c r="K52" s="2" t="inlineStr">
        <is>
          <t>The discriminant is 1 + 48 = 49, so x = (-1 +/- 7)/4, giving 3/2 and -2.</t>
        </is>
      </c>
      <c r="L52" s="2" t="n">
        <v>3</v>
      </c>
      <c r="M52" s="2" t="inlineStr">
        <is>
          <t>Maths_SecP1X_2026-27.pdf Page 3</t>
        </is>
      </c>
      <c r="N52" s="2" t="inlineStr">
        <is>
          <t>draft / unverified / REVIEW_PENDING</t>
        </is>
      </c>
      <c r="O52" s="3" t="inlineStr"/>
      <c r="P52" s="3" t="inlineStr"/>
      <c r="Q52" s="3" t="inlineStr"/>
      <c r="R52" s="3" t="inlineStr"/>
      <c r="S52" s="3" t="inlineStr"/>
      <c r="T52" s="3" t="inlineStr"/>
      <c r="U52" s="3" t="inlineStr"/>
    </row>
    <row r="53" ht="46" customHeight="1">
      <c r="A53" s="2" t="inlineStr">
        <is>
          <t>C10-2627-MATH-REQ013-REASS-002</t>
        </is>
      </c>
      <c r="B53" s="2" t="inlineStr">
        <is>
          <t>Mathematics</t>
        </is>
      </c>
      <c r="C53" s="2" t="inlineStr">
        <is>
          <t>Algebra</t>
        </is>
      </c>
      <c r="D53" s="2" t="inlineStr">
        <is>
          <t>Quadratic Equations</t>
        </is>
      </c>
      <c r="E53" s="2" t="inlineStr">
        <is>
          <t>REQ_MATH_2026_013, REQ_MATH_2026_014, REQ_MATH_2026_015, REQ_MATH_2026_016, REQ_MATH_2026_017</t>
        </is>
      </c>
      <c r="F53" s="2" t="inlineStr">
        <is>
          <t>LO_M4.1.1 — Solve quadratic equations using factorization and quadratic formula, and determine nature of roots using discriminant.</t>
        </is>
      </c>
      <c r="G53" s="2" t="inlineStr">
        <is>
          <t>Solution of Quadratic Equations and Discriminant</t>
        </is>
      </c>
      <c r="H53" s="2" t="inlineStr">
        <is>
          <t>For which values of k does x^2 + kx + 9 = 0 have two equal roots?</t>
        </is>
      </c>
      <c r="I53" s="2" t="inlineStr">
        <is>
          <t>A. k = 3 only
B. k = 9 or k = -9
C. k = 0
D. k = 6 or k = -6</t>
        </is>
      </c>
      <c r="J53" s="2" t="inlineStr">
        <is>
          <t>k = 6 or k = -6</t>
        </is>
      </c>
      <c r="K53" s="2" t="inlineStr">
        <is>
          <t>Equal roots require the discriminant k^2 - 36 to be zero, so k^2 = 36 and k = 6 or -6.</t>
        </is>
      </c>
      <c r="L53" s="2" t="n">
        <v>3</v>
      </c>
      <c r="M53" s="2" t="inlineStr">
        <is>
          <t>Maths_SecP1X_2026-27.pdf Page 3</t>
        </is>
      </c>
      <c r="N53" s="2" t="inlineStr">
        <is>
          <t>draft / unverified / REVIEW_PENDING</t>
        </is>
      </c>
      <c r="O53" s="3" t="inlineStr"/>
      <c r="P53" s="3" t="inlineStr"/>
      <c r="Q53" s="3" t="inlineStr"/>
      <c r="R53" s="3" t="inlineStr"/>
      <c r="S53" s="3" t="inlineStr"/>
      <c r="T53" s="3" t="inlineStr"/>
      <c r="U53" s="3" t="inlineStr"/>
    </row>
    <row r="54" ht="46" customHeight="1">
      <c r="A54" s="2" t="inlineStr">
        <is>
          <t>C10-2627-MATH-REQ013-REASS-003</t>
        </is>
      </c>
      <c r="B54" s="2" t="inlineStr">
        <is>
          <t>Mathematics</t>
        </is>
      </c>
      <c r="C54" s="2" t="inlineStr">
        <is>
          <t>Algebra</t>
        </is>
      </c>
      <c r="D54" s="2" t="inlineStr">
        <is>
          <t>Quadratic Equations</t>
        </is>
      </c>
      <c r="E54" s="2" t="inlineStr">
        <is>
          <t>REQ_MATH_2026_013, REQ_MATH_2026_014, REQ_MATH_2026_015, REQ_MATH_2026_016, REQ_MATH_2026_017</t>
        </is>
      </c>
      <c r="F54" s="2" t="inlineStr">
        <is>
          <t>LO_M4.1.1 — Solve quadratic equations using factorization and quadratic formula, and determine nature of roots using discriminant.</t>
        </is>
      </c>
      <c r="G54" s="2" t="inlineStr">
        <is>
          <t>Solution of Quadratic Equations and Discriminant</t>
        </is>
      </c>
      <c r="H54" s="2" t="inlineStr">
        <is>
          <t>A rectangular herb bed is being planned. Its length is to be 3 metres more than its breadth and its area must be 154 square metres.
Form a quadratic equation for the breadth and find the length and breadth.</t>
        </is>
      </c>
      <c r="I54" s="2" t="inlineStr">
        <is>
          <t>(constructed response)</t>
        </is>
      </c>
      <c r="J54" s="2" t="inlineStr">
        <is>
          <t>b^2 + 3b - 154 = 0; breadth 11 m and length 14 m</t>
        </is>
      </c>
      <c r="K54" s="2" t="inlineStr">
        <is>
          <t>The discriminant is 9 + 616 = 625, so b = (-3 + 25)/2 = 11 and the length is 14. The negative root is rejected as a length.</t>
        </is>
      </c>
      <c r="L54" s="2" t="n">
        <v>4</v>
      </c>
      <c r="M54" s="2" t="inlineStr">
        <is>
          <t>Maths_SecP1X_2026-27.pdf Page 3</t>
        </is>
      </c>
      <c r="N54" s="2" t="inlineStr">
        <is>
          <t>draft / unverified / REVIEW_PENDING</t>
        </is>
      </c>
      <c r="O54" s="3" t="inlineStr"/>
      <c r="P54" s="3" t="inlineStr"/>
      <c r="Q54" s="3" t="inlineStr"/>
      <c r="R54" s="3" t="inlineStr"/>
      <c r="S54" s="3" t="inlineStr"/>
      <c r="T54" s="3" t="inlineStr"/>
      <c r="U54" s="3" t="inlineStr"/>
    </row>
    <row r="55" ht="46" customHeight="1">
      <c r="A55" s="2" t="inlineStr">
        <is>
          <t>C10-2627-MATH-REQ013-REASS-004</t>
        </is>
      </c>
      <c r="B55" s="2" t="inlineStr">
        <is>
          <t>Mathematics</t>
        </is>
      </c>
      <c r="C55" s="2" t="inlineStr">
        <is>
          <t>Algebra</t>
        </is>
      </c>
      <c r="D55" s="2" t="inlineStr">
        <is>
          <t>Quadratic Equations</t>
        </is>
      </c>
      <c r="E55" s="2" t="inlineStr">
        <is>
          <t>REQ_MATH_2026_013, REQ_MATH_2026_014, REQ_MATH_2026_015, REQ_MATH_2026_016, REQ_MATH_2026_017</t>
        </is>
      </c>
      <c r="F55" s="2" t="inlineStr">
        <is>
          <t>LO_M4.1.1 — Solve quadratic equations using factorization and quadratic formula, and determine nature of roots using discriminant.</t>
        </is>
      </c>
      <c r="G55" s="2" t="inlineStr">
        <is>
          <t>Solution of Quadratic Equations and Discriminant</t>
        </is>
      </c>
      <c r="H55" s="2" t="inlineStr">
        <is>
          <t>The sum of the squares of two consecutive positive integers is 313. Find the integers.</t>
        </is>
      </c>
      <c r="I55" s="2" t="inlineStr">
        <is>
          <t>(constructed response)</t>
        </is>
      </c>
      <c r="J55" s="2" t="inlineStr">
        <is>
          <t>12 and 13</t>
        </is>
      </c>
      <c r="K55" s="2" t="inlineStr">
        <is>
          <t>n^2 + (n + 1)^2 = 313 gives 2n^2 + 2n - 312 = 0, that is n^2 + n - 156 = 0, so n = 12 and the integers are 12 and 13.</t>
        </is>
      </c>
      <c r="L55" s="2" t="n">
        <v>4</v>
      </c>
      <c r="M55" s="2" t="inlineStr">
        <is>
          <t>Maths_SecP1X_2026-27.pdf Page 3</t>
        </is>
      </c>
      <c r="N55" s="2" t="inlineStr">
        <is>
          <t>draft / unverified / REVIEW_PENDING</t>
        </is>
      </c>
      <c r="O55" s="3" t="inlineStr"/>
      <c r="P55" s="3" t="inlineStr"/>
      <c r="Q55" s="3" t="inlineStr"/>
      <c r="R55" s="3" t="inlineStr"/>
      <c r="S55" s="3" t="inlineStr"/>
      <c r="T55" s="3" t="inlineStr"/>
      <c r="U55" s="3" t="inlineStr"/>
    </row>
    <row r="56" ht="46" customHeight="1">
      <c r="A56" s="2" t="inlineStr">
        <is>
          <t>C10-2627-MATH-REQ013-REASS-005</t>
        </is>
      </c>
      <c r="B56" s="2" t="inlineStr">
        <is>
          <t>Mathematics</t>
        </is>
      </c>
      <c r="C56" s="2" t="inlineStr">
        <is>
          <t>Algebra</t>
        </is>
      </c>
      <c r="D56" s="2" t="inlineStr">
        <is>
          <t>Quadratic Equations</t>
        </is>
      </c>
      <c r="E56" s="2" t="inlineStr">
        <is>
          <t>REQ_MATH_2026_013, REQ_MATH_2026_014, REQ_MATH_2026_015, REQ_MATH_2026_016, REQ_MATH_2026_017</t>
        </is>
      </c>
      <c r="F56" s="2" t="inlineStr">
        <is>
          <t>LO_M4.1.1 — Solve quadratic equations using factorization and quadratic formula, and determine nature of roots using discriminant.</t>
        </is>
      </c>
      <c r="G56" s="2" t="inlineStr">
        <is>
          <t>Solution of Quadratic Equations and Discriminant</t>
        </is>
      </c>
      <c r="H56" s="2" t="inlineStr">
        <is>
          <t>Assertion (A): The equation x^2 + 4x + 4 = 0 has two equal roots.
Reason (R): A quadratic equation has equal roots when its discriminant is zero.
Choose the correct option.</t>
        </is>
      </c>
      <c r="I56" s="2" t="inlineStr">
        <is>
          <t>A. Both A and R are true and R is the correct explanation of A.
B. Both A and R are true but R is not the correct explanation of A.
C. A is true but R is false.
D. A is false but R is true.</t>
        </is>
      </c>
      <c r="J56" s="2" t="inlineStr">
        <is>
          <t>Both A and R are true and R is the correct explanation of A.</t>
        </is>
      </c>
      <c r="K56" s="2" t="inlineStr">
        <is>
          <t>The discriminant here is 16 - 16 = 0, so the equation has the repeated root -2, which is exactly the condition in the reason.</t>
        </is>
      </c>
      <c r="L56" s="2" t="n">
        <v>2</v>
      </c>
      <c r="M56" s="2" t="inlineStr">
        <is>
          <t>Maths_SecP1X_2026-27.pdf Page 3</t>
        </is>
      </c>
      <c r="N56" s="2" t="inlineStr">
        <is>
          <t>draft / unverified / REVIEW_PENDING</t>
        </is>
      </c>
      <c r="O56" s="3" t="inlineStr"/>
      <c r="P56" s="3" t="inlineStr"/>
      <c r="Q56" s="3" t="inlineStr"/>
      <c r="R56" s="3" t="inlineStr"/>
      <c r="S56" s="3" t="inlineStr"/>
      <c r="T56" s="3" t="inlineStr"/>
      <c r="U56" s="3" t="inlineStr"/>
    </row>
    <row r="57" ht="46" customHeight="1">
      <c r="A57" s="2" t="inlineStr">
        <is>
          <t>C10-2627-MATH-REQ018-DIAG-001</t>
        </is>
      </c>
      <c r="B57" s="2" t="inlineStr">
        <is>
          <t>Mathematics</t>
        </is>
      </c>
      <c r="C57" s="2" t="inlineStr">
        <is>
          <t>Algebra</t>
        </is>
      </c>
      <c r="D57" s="2" t="inlineStr">
        <is>
          <t>Arithmetic Progressions</t>
        </is>
      </c>
      <c r="E57" s="2" t="inlineStr">
        <is>
          <t>REQ_MATH_2026_018, REQ_MATH_2026_019, REQ_MATH_2026_020, REQ_MATH_2026_021</t>
        </is>
      </c>
      <c r="F57" s="2" t="inlineStr">
        <is>
          <t>LO_M5.1.1 — Derive and apply formulas for the nth term (an) and sum of first n terms (Sn) of an Arithmetic Progression.</t>
        </is>
      </c>
      <c r="G57" s="2" t="inlineStr">
        <is>
          <t>nth Term and Sum of n Terms of an AP</t>
        </is>
      </c>
      <c r="H57" s="2" t="inlineStr">
        <is>
          <t>Find the 11th term of the arithmetic progression 5, 9, 13, ...</t>
        </is>
      </c>
      <c r="I57" s="2" t="inlineStr">
        <is>
          <t>(constructed response)</t>
        </is>
      </c>
      <c r="J57" s="2" t="inlineStr">
        <is>
          <t>45</t>
        </is>
      </c>
      <c r="K57" s="2" t="inlineStr">
        <is>
          <t>Here a = 5 and d = 4, so a11 = a + 10d = 5 + 40 = 45.</t>
        </is>
      </c>
      <c r="L57" s="2" t="n">
        <v>2</v>
      </c>
      <c r="M57" s="2" t="inlineStr">
        <is>
          <t>Maths_SecP1X_2026-27.pdf Page 3</t>
        </is>
      </c>
      <c r="N57" s="2" t="inlineStr">
        <is>
          <t>draft / unverified / REVIEW_PENDING</t>
        </is>
      </c>
      <c r="O57" s="3" t="inlineStr"/>
      <c r="P57" s="3" t="inlineStr"/>
      <c r="Q57" s="3" t="inlineStr"/>
      <c r="R57" s="3" t="inlineStr"/>
      <c r="S57" s="3" t="inlineStr"/>
      <c r="T57" s="3" t="inlineStr"/>
      <c r="U57" s="3" t="inlineStr"/>
    </row>
    <row r="58" ht="46" customHeight="1">
      <c r="A58" s="2" t="inlineStr">
        <is>
          <t>C10-2627-MATH-REQ018-DIAG-002</t>
        </is>
      </c>
      <c r="B58" s="2" t="inlineStr">
        <is>
          <t>Mathematics</t>
        </is>
      </c>
      <c r="C58" s="2" t="inlineStr">
        <is>
          <t>Algebra</t>
        </is>
      </c>
      <c r="D58" s="2" t="inlineStr">
        <is>
          <t>Arithmetic Progressions</t>
        </is>
      </c>
      <c r="E58" s="2" t="inlineStr">
        <is>
          <t>REQ_MATH_2026_018, REQ_MATH_2026_019, REQ_MATH_2026_020, REQ_MATH_2026_021</t>
        </is>
      </c>
      <c r="F58" s="2" t="inlineStr">
        <is>
          <t>LO_M5.1.1 — Derive and apply formulas for the nth term (an) and sum of first n terms (Sn) of an Arithmetic Progression.</t>
        </is>
      </c>
      <c r="G58" s="2" t="inlineStr">
        <is>
          <t>nth Term and Sum of n Terms of an AP</t>
        </is>
      </c>
      <c r="H58" s="2" t="inlineStr">
        <is>
          <t>Find the sum of the first 20 terms of the arithmetic progression 3, 7, 11, ...</t>
        </is>
      </c>
      <c r="I58" s="2" t="inlineStr">
        <is>
          <t>A. 840
B. 760
C. 820
D. 800</t>
        </is>
      </c>
      <c r="J58" s="2" t="inlineStr">
        <is>
          <t>820</t>
        </is>
      </c>
      <c r="K58" s="2" t="inlineStr">
        <is>
          <t>With a = 3, d = 4 and n = 20, Sn = (n/2)(2a + (n - 1)d) = 10 x (6 + 76) = 820.</t>
        </is>
      </c>
      <c r="L58" s="2" t="n">
        <v>3</v>
      </c>
      <c r="M58" s="2" t="inlineStr">
        <is>
          <t>Maths_SecP1X_2026-27.pdf Page 3</t>
        </is>
      </c>
      <c r="N58" s="2" t="inlineStr">
        <is>
          <t>draft / unverified / REVIEW_PENDING</t>
        </is>
      </c>
      <c r="O58" s="3" t="inlineStr"/>
      <c r="P58" s="3" t="inlineStr"/>
      <c r="Q58" s="3" t="inlineStr"/>
      <c r="R58" s="3" t="inlineStr"/>
      <c r="S58" s="3" t="inlineStr"/>
      <c r="T58" s="3" t="inlineStr"/>
      <c r="U58" s="3" t="inlineStr"/>
    </row>
    <row r="59" ht="46" customHeight="1">
      <c r="A59" s="2" t="inlineStr">
        <is>
          <t>C10-2627-MATH-REQ018-REASS-001</t>
        </is>
      </c>
      <c r="B59" s="2" t="inlineStr">
        <is>
          <t>Mathematics</t>
        </is>
      </c>
      <c r="C59" s="2" t="inlineStr">
        <is>
          <t>Algebra</t>
        </is>
      </c>
      <c r="D59" s="2" t="inlineStr">
        <is>
          <t>Arithmetic Progressions</t>
        </is>
      </c>
      <c r="E59" s="2" t="inlineStr">
        <is>
          <t>REQ_MATH_2026_018, REQ_MATH_2026_019, REQ_MATH_2026_020, REQ_MATH_2026_021</t>
        </is>
      </c>
      <c r="F59" s="2" t="inlineStr">
        <is>
          <t>LO_M5.1.1 — Derive and apply formulas for the nth term (an) and sum of first n terms (Sn) of an Arithmetic Progression.</t>
        </is>
      </c>
      <c r="G59" s="2" t="inlineStr">
        <is>
          <t>nth Term and Sum of n Terms of an AP</t>
        </is>
      </c>
      <c r="H59" s="2" t="inlineStr">
        <is>
          <t>Which term of the arithmetic progression 21, 18, 15, ... is -81?</t>
        </is>
      </c>
      <c r="I59" s="2" t="inlineStr">
        <is>
          <t>(constructed response)</t>
        </is>
      </c>
      <c r="J59" s="2" t="inlineStr">
        <is>
          <t>the 35th term</t>
        </is>
      </c>
      <c r="K59" s="2" t="inlineStr">
        <is>
          <t>Here a = 21 and d = -3, so 21 - 3(n - 1) = -81 gives 3(n - 1) = 102 and n = 35.</t>
        </is>
      </c>
      <c r="L59" s="2" t="n">
        <v>3</v>
      </c>
      <c r="M59" s="2" t="inlineStr">
        <is>
          <t>Maths_SecP1X_2026-27.pdf Page 3</t>
        </is>
      </c>
      <c r="N59" s="2" t="inlineStr">
        <is>
          <t>draft / unverified / REVIEW_PENDING</t>
        </is>
      </c>
      <c r="O59" s="3" t="inlineStr"/>
      <c r="P59" s="3" t="inlineStr"/>
      <c r="Q59" s="3" t="inlineStr"/>
      <c r="R59" s="3" t="inlineStr"/>
      <c r="S59" s="3" t="inlineStr"/>
      <c r="T59" s="3" t="inlineStr"/>
      <c r="U59" s="3" t="inlineStr"/>
    </row>
    <row r="60" ht="46" customHeight="1">
      <c r="A60" s="2" t="inlineStr">
        <is>
          <t>C10-2627-MATH-REQ018-REASS-002</t>
        </is>
      </c>
      <c r="B60" s="2" t="inlineStr">
        <is>
          <t>Mathematics</t>
        </is>
      </c>
      <c r="C60" s="2" t="inlineStr">
        <is>
          <t>Algebra</t>
        </is>
      </c>
      <c r="D60" s="2" t="inlineStr">
        <is>
          <t>Arithmetic Progressions</t>
        </is>
      </c>
      <c r="E60" s="2" t="inlineStr">
        <is>
          <t>REQ_MATH_2026_018, REQ_MATH_2026_019, REQ_MATH_2026_020, REQ_MATH_2026_021</t>
        </is>
      </c>
      <c r="F60" s="2" t="inlineStr">
        <is>
          <t>LO_M5.1.1 — Derive and apply formulas for the nth term (an) and sum of first n terms (Sn) of an Arithmetic Progression.</t>
        </is>
      </c>
      <c r="G60" s="2" t="inlineStr">
        <is>
          <t>nth Term and Sum of n Terms of an AP</t>
        </is>
      </c>
      <c r="H60" s="2" t="inlineStr">
        <is>
          <t>Find the sum of the first 15 multiples of 8.</t>
        </is>
      </c>
      <c r="I60" s="2" t="inlineStr">
        <is>
          <t>A. 900
B. 960
C. 840
D. 1080</t>
        </is>
      </c>
      <c r="J60" s="2" t="inlineStr">
        <is>
          <t>960</t>
        </is>
      </c>
      <c r="K60" s="2" t="inlineStr">
        <is>
          <t>The multiples form an AP with a = 8 and d = 8, so S15 = 8(1 + 2 + ... + 15) = 8 x 120 = 960.</t>
        </is>
      </c>
      <c r="L60" s="2" t="n">
        <v>3</v>
      </c>
      <c r="M60" s="2" t="inlineStr">
        <is>
          <t>Maths_SecP1X_2026-27.pdf Page 3</t>
        </is>
      </c>
      <c r="N60" s="2" t="inlineStr">
        <is>
          <t>draft / unverified / REVIEW_PENDING</t>
        </is>
      </c>
      <c r="O60" s="3" t="inlineStr"/>
      <c r="P60" s="3" t="inlineStr"/>
      <c r="Q60" s="3" t="inlineStr"/>
      <c r="R60" s="3" t="inlineStr"/>
      <c r="S60" s="3" t="inlineStr"/>
      <c r="T60" s="3" t="inlineStr"/>
      <c r="U60" s="3" t="inlineStr"/>
    </row>
    <row r="61" ht="46" customHeight="1">
      <c r="A61" s="2" t="inlineStr">
        <is>
          <t>C10-2627-MATH-REQ018-REASS-003</t>
        </is>
      </c>
      <c r="B61" s="2" t="inlineStr">
        <is>
          <t>Mathematics</t>
        </is>
      </c>
      <c r="C61" s="2" t="inlineStr">
        <is>
          <t>Algebra</t>
        </is>
      </c>
      <c r="D61" s="2" t="inlineStr">
        <is>
          <t>Arithmetic Progressions</t>
        </is>
      </c>
      <c r="E61" s="2" t="inlineStr">
        <is>
          <t>REQ_MATH_2026_018, REQ_MATH_2026_019, REQ_MATH_2026_020, REQ_MATH_2026_021</t>
        </is>
      </c>
      <c r="F61" s="2" t="inlineStr">
        <is>
          <t>LO_M5.1.1 — Derive and apply formulas for the nth term (an) and sum of first n terms (Sn) of an Arithmetic Progression.</t>
        </is>
      </c>
      <c r="G61" s="2" t="inlineStr">
        <is>
          <t>nth Term and Sum of n Terms of an AP</t>
        </is>
      </c>
      <c r="H61" s="2" t="inlineStr">
        <is>
          <t>A parent saves 200 rupees in the first month of the year and increases the amount saved by 50 rupees every following month, keeping this up for twelve months.
How much is saved in total over the twelve months?</t>
        </is>
      </c>
      <c r="I61" s="2" t="inlineStr">
        <is>
          <t>(constructed response)</t>
        </is>
      </c>
      <c r="J61" s="2" t="inlineStr">
        <is>
          <t>5700 rupees</t>
        </is>
      </c>
      <c r="K61" s="2" t="inlineStr">
        <is>
          <t>The savings form an AP with a = 200 and d = 50, so S12 = (12/2)(400 + 11 x 50) = 6 x 950 = 5700.</t>
        </is>
      </c>
      <c r="L61" s="2" t="n">
        <v>3</v>
      </c>
      <c r="M61" s="2" t="inlineStr">
        <is>
          <t>Maths_SecP1X_2026-27.pdf Page 3</t>
        </is>
      </c>
      <c r="N61" s="2" t="inlineStr">
        <is>
          <t>draft / unverified / REVIEW_PENDING</t>
        </is>
      </c>
      <c r="O61" s="3" t="inlineStr"/>
      <c r="P61" s="3" t="inlineStr"/>
      <c r="Q61" s="3" t="inlineStr"/>
      <c r="R61" s="3" t="inlineStr"/>
      <c r="S61" s="3" t="inlineStr"/>
      <c r="T61" s="3" t="inlineStr"/>
      <c r="U61" s="3" t="inlineStr"/>
    </row>
    <row r="62" ht="46" customHeight="1">
      <c r="A62" s="2" t="inlineStr">
        <is>
          <t>C10-2627-MATH-REQ018-REASS-004</t>
        </is>
      </c>
      <c r="B62" s="2" t="inlineStr">
        <is>
          <t>Mathematics</t>
        </is>
      </c>
      <c r="C62" s="2" t="inlineStr">
        <is>
          <t>Algebra</t>
        </is>
      </c>
      <c r="D62" s="2" t="inlineStr">
        <is>
          <t>Arithmetic Progressions</t>
        </is>
      </c>
      <c r="E62" s="2" t="inlineStr">
        <is>
          <t>REQ_MATH_2026_018, REQ_MATH_2026_019, REQ_MATH_2026_020, REQ_MATH_2026_021</t>
        </is>
      </c>
      <c r="F62" s="2" t="inlineStr">
        <is>
          <t>LO_M5.1.1 — Derive and apply formulas for the nth term (an) and sum of first n terms (Sn) of an Arithmetic Progression.</t>
        </is>
      </c>
      <c r="G62" s="2" t="inlineStr">
        <is>
          <t>nth Term and Sum of n Terms of an AP</t>
        </is>
      </c>
      <c r="H62" s="2" t="inlineStr">
        <is>
          <t>In an arithmetic progression the first term is 7 and the 13th term is 35. Find the common difference and the sum of the first 13 terms.</t>
        </is>
      </c>
      <c r="I62" s="2" t="inlineStr">
        <is>
          <t>(constructed response)</t>
        </is>
      </c>
      <c r="J62" s="2" t="inlineStr">
        <is>
          <t>d = 7/3 and S13 = 273</t>
        </is>
      </c>
      <c r="K62" s="2" t="inlineStr">
        <is>
          <t>a13 = a + 12d gives 35 = 7 + 12d, so d = 28/12 = 7/3. Then S13 = (13/2)(7 + 35) = 273.</t>
        </is>
      </c>
      <c r="L62" s="2" t="n">
        <v>4</v>
      </c>
      <c r="M62" s="2" t="inlineStr">
        <is>
          <t>Maths_SecP1X_2026-27.pdf Page 3</t>
        </is>
      </c>
      <c r="N62" s="2" t="inlineStr">
        <is>
          <t>draft / unverified / REVIEW_PENDING</t>
        </is>
      </c>
      <c r="O62" s="3" t="inlineStr"/>
      <c r="P62" s="3" t="inlineStr"/>
      <c r="Q62" s="3" t="inlineStr"/>
      <c r="R62" s="3" t="inlineStr"/>
      <c r="S62" s="3" t="inlineStr"/>
      <c r="T62" s="3" t="inlineStr"/>
      <c r="U62" s="3" t="inlineStr"/>
    </row>
    <row r="63" ht="46" customHeight="1">
      <c r="A63" s="2" t="inlineStr">
        <is>
          <t>C10-2627-MATH-REQ018-REASS-005</t>
        </is>
      </c>
      <c r="B63" s="2" t="inlineStr">
        <is>
          <t>Mathematics</t>
        </is>
      </c>
      <c r="C63" s="2" t="inlineStr">
        <is>
          <t>Algebra</t>
        </is>
      </c>
      <c r="D63" s="2" t="inlineStr">
        <is>
          <t>Arithmetic Progressions</t>
        </is>
      </c>
      <c r="E63" s="2" t="inlineStr">
        <is>
          <t>REQ_MATH_2026_018, REQ_MATH_2026_019, REQ_MATH_2026_020, REQ_MATH_2026_021</t>
        </is>
      </c>
      <c r="F63" s="2" t="inlineStr">
        <is>
          <t>LO_M5.1.1 — Derive and apply formulas for the nth term (an) and sum of first n terms (Sn) of an Arithmetic Progression.</t>
        </is>
      </c>
      <c r="G63" s="2" t="inlineStr">
        <is>
          <t>nth Term and Sum of n Terms of an AP</t>
        </is>
      </c>
      <c r="H63" s="2" t="inlineStr">
        <is>
          <t>Assertion (A): The terms of every arithmetic progression increase as n increases.
Reason (R): In an arithmetic progression each term differs from the previous one by a fixed number d.
Choose the correct option.</t>
        </is>
      </c>
      <c r="I63" s="2" t="inlineStr">
        <is>
          <t>A. Both A and R are true and R is the correct explanation of A.
B. Both A and R are true but R is not the correct explanation of A.
C. A is true but R is false.
D. A is false but R is true.</t>
        </is>
      </c>
      <c r="J63" s="2" t="inlineStr">
        <is>
          <t>A is false but R is true.</t>
        </is>
      </c>
      <c r="K63" s="2" t="inlineStr">
        <is>
          <t>The fixed difference may be negative, as in 10, 7, 4, ..., where the terms decrease. So A is false while R is true.</t>
        </is>
      </c>
      <c r="L63" s="2" t="n">
        <v>2</v>
      </c>
      <c r="M63" s="2" t="inlineStr">
        <is>
          <t>Maths_SecP1X_2026-27.pdf Page 3</t>
        </is>
      </c>
      <c r="N63" s="2" t="inlineStr">
        <is>
          <t>draft / unverified / REVIEW_PENDING</t>
        </is>
      </c>
      <c r="O63" s="3" t="inlineStr"/>
      <c r="P63" s="3" t="inlineStr"/>
      <c r="Q63" s="3" t="inlineStr"/>
      <c r="R63" s="3" t="inlineStr"/>
      <c r="S63" s="3" t="inlineStr"/>
      <c r="T63" s="3" t="inlineStr"/>
      <c r="U63" s="3" t="inlineStr"/>
    </row>
    <row r="64" ht="46" customHeight="1">
      <c r="A64" s="2" t="inlineStr">
        <is>
          <t>C10-2627-MATH-REQ027-DIAG-001</t>
        </is>
      </c>
      <c r="B64" s="2" t="inlineStr">
        <is>
          <t>Mathematics</t>
        </is>
      </c>
      <c r="C64" s="2" t="inlineStr">
        <is>
          <t>Geometry</t>
        </is>
      </c>
      <c r="D64" s="2" t="inlineStr">
        <is>
          <t>Circles</t>
        </is>
      </c>
      <c r="E64" s="2" t="inlineStr">
        <is>
          <t>REQ_MATH_2026_027, REQ_MATH_2026_028</t>
        </is>
      </c>
      <c r="F64" s="2" t="inlineStr">
        <is>
          <t>LO_M10.1.1 — Prove and apply theorems regarding tangents to a circle from an external point.</t>
        </is>
      </c>
      <c r="G64" s="2" t="inlineStr">
        <is>
          <t>Tangents to a Circle</t>
        </is>
      </c>
      <c r="H64" s="2" t="inlineStr">
        <is>
          <t>A tangent is drawn from a point P to a circle of radius 5 cm with centre O, touching it at T. If OP = 13 cm, find PT.</t>
        </is>
      </c>
      <c r="I64" s="2" t="inlineStr">
        <is>
          <t>(constructed response)</t>
        </is>
      </c>
      <c r="J64" s="2" t="inlineStr">
        <is>
          <t>12 cm</t>
        </is>
      </c>
      <c r="K64" s="2" t="inlineStr">
        <is>
          <t>The radius is perpendicular to the tangent at T, so PT = root(13^2 - 5^2) = root 144 = 12 cm.</t>
        </is>
      </c>
      <c r="L64" s="2" t="n">
        <v>2</v>
      </c>
      <c r="M64" s="2" t="inlineStr">
        <is>
          <t>Maths_SecP1X_2026-27.pdf Page 4</t>
        </is>
      </c>
      <c r="N64" s="2" t="inlineStr">
        <is>
          <t>draft / unverified / REVIEW_PENDING</t>
        </is>
      </c>
      <c r="O64" s="3" t="inlineStr"/>
      <c r="P64" s="3" t="inlineStr"/>
      <c r="Q64" s="3" t="inlineStr"/>
      <c r="R64" s="3" t="inlineStr"/>
      <c r="S64" s="3" t="inlineStr"/>
      <c r="T64" s="3" t="inlineStr"/>
      <c r="U64" s="3" t="inlineStr"/>
    </row>
    <row r="65" ht="46" customHeight="1">
      <c r="A65" s="2" t="inlineStr">
        <is>
          <t>C10-2627-MATH-REQ027-DIAG-002</t>
        </is>
      </c>
      <c r="B65" s="2" t="inlineStr">
        <is>
          <t>Mathematics</t>
        </is>
      </c>
      <c r="C65" s="2" t="inlineStr">
        <is>
          <t>Geometry</t>
        </is>
      </c>
      <c r="D65" s="2" t="inlineStr">
        <is>
          <t>Circles</t>
        </is>
      </c>
      <c r="E65" s="2" t="inlineStr">
        <is>
          <t>REQ_MATH_2026_027, REQ_MATH_2026_028</t>
        </is>
      </c>
      <c r="F65" s="2" t="inlineStr">
        <is>
          <t>LO_M10.1.1 — Prove and apply theorems regarding tangents to a circle from an external point.</t>
        </is>
      </c>
      <c r="G65" s="2" t="inlineStr">
        <is>
          <t>Tangents to a Circle</t>
        </is>
      </c>
      <c r="H65" s="2" t="inlineStr">
        <is>
          <t>How many tangents can be drawn to a circle from a point lying on the circle?</t>
        </is>
      </c>
      <c r="I65" s="2" t="inlineStr">
        <is>
          <t>A. exactly two
B. infinitely many
C. exactly one
D. none</t>
        </is>
      </c>
      <c r="J65" s="2" t="inlineStr">
        <is>
          <t>exactly one</t>
        </is>
      </c>
      <c r="K65" s="2" t="inlineStr">
        <is>
          <t>At any point of a circle there is a unique line perpendicular to the radius at that point, and that line is the tangent.</t>
        </is>
      </c>
      <c r="L65" s="2" t="n">
        <v>1</v>
      </c>
      <c r="M65" s="2" t="inlineStr">
        <is>
          <t>Maths_SecP1X_2026-27.pdf Page 4</t>
        </is>
      </c>
      <c r="N65" s="2" t="inlineStr">
        <is>
          <t>draft / unverified / REVIEW_PENDING</t>
        </is>
      </c>
      <c r="O65" s="3" t="inlineStr"/>
      <c r="P65" s="3" t="inlineStr"/>
      <c r="Q65" s="3" t="inlineStr"/>
      <c r="R65" s="3" t="inlineStr"/>
      <c r="S65" s="3" t="inlineStr"/>
      <c r="T65" s="3" t="inlineStr"/>
      <c r="U65" s="3" t="inlineStr"/>
    </row>
    <row r="66" ht="46" customHeight="1">
      <c r="A66" s="2" t="inlineStr">
        <is>
          <t>C10-2627-MATH-REQ027-DIAG-003</t>
        </is>
      </c>
      <c r="B66" s="2" t="inlineStr">
        <is>
          <t>Mathematics</t>
        </is>
      </c>
      <c r="C66" s="2" t="inlineStr">
        <is>
          <t>Geometry</t>
        </is>
      </c>
      <c r="D66" s="2" t="inlineStr">
        <is>
          <t>Circles</t>
        </is>
      </c>
      <c r="E66" s="2" t="inlineStr">
        <is>
          <t>REQ_MATH_2026_027, REQ_MATH_2026_028</t>
        </is>
      </c>
      <c r="F66" s="2" t="inlineStr">
        <is>
          <t>LO_M10.1.1 — Prove and apply theorems regarding tangents to a circle from an external point.</t>
        </is>
      </c>
      <c r="G66" s="2" t="inlineStr">
        <is>
          <t>Tangents to a Circle</t>
        </is>
      </c>
      <c r="H66" s="2" t="inlineStr">
        <is>
          <t>From an external point P, two tangents PA and PB are drawn to a circle. If PB = 7 cm, write the length of PA and name the property used.</t>
        </is>
      </c>
      <c r="I66" s="2" t="inlineStr">
        <is>
          <t>(constructed response)</t>
        </is>
      </c>
      <c r="J66" s="2" t="inlineStr">
        <is>
          <t>PA = 7 cm; tangents from an external point are equal in length.</t>
        </is>
      </c>
      <c r="K66" s="2" t="inlineStr">
        <is>
          <t>The two tangent segments from a common external point to a circle are congruent, which follows from the RHS congruence of the two right triangles formed with the radii.</t>
        </is>
      </c>
      <c r="L66" s="2" t="n">
        <v>1</v>
      </c>
      <c r="M66" s="2" t="inlineStr">
        <is>
          <t>Maths_SecP1X_2026-27.pdf Page 4</t>
        </is>
      </c>
      <c r="N66" s="2" t="inlineStr">
        <is>
          <t>draft / unverified / REVIEW_PENDING</t>
        </is>
      </c>
      <c r="O66" s="3" t="inlineStr"/>
      <c r="P66" s="3" t="inlineStr"/>
      <c r="Q66" s="3" t="inlineStr"/>
      <c r="R66" s="3" t="inlineStr"/>
      <c r="S66" s="3" t="inlineStr"/>
      <c r="T66" s="3" t="inlineStr"/>
      <c r="U66" s="3" t="inlineStr"/>
    </row>
    <row r="67" ht="46" customHeight="1">
      <c r="A67" s="2" t="inlineStr">
        <is>
          <t>C10-2627-MATH-REQ027-DIAG-004</t>
        </is>
      </c>
      <c r="B67" s="2" t="inlineStr">
        <is>
          <t>Mathematics</t>
        </is>
      </c>
      <c r="C67" s="2" t="inlineStr">
        <is>
          <t>Geometry</t>
        </is>
      </c>
      <c r="D67" s="2" t="inlineStr">
        <is>
          <t>Circles</t>
        </is>
      </c>
      <c r="E67" s="2" t="inlineStr">
        <is>
          <t>REQ_MATH_2026_027, REQ_MATH_2026_028</t>
        </is>
      </c>
      <c r="F67" s="2" t="inlineStr">
        <is>
          <t>LO_M10.1.1 — Prove and apply theorems regarding tangents to a circle from an external point.</t>
        </is>
      </c>
      <c r="G67" s="2" t="inlineStr">
        <is>
          <t>Tangents to a Circle</t>
        </is>
      </c>
      <c r="H67" s="2" t="inlineStr">
        <is>
          <t>A circular skating rink of radius 9 m has its centre at O. A lamp post stands at a point P outside the rink with OP = 41 m, and a straight guard rail runs from P and just touches the rink at a point T.
Find the length of the guard rail PT.</t>
        </is>
      </c>
      <c r="I67" s="2" t="inlineStr">
        <is>
          <t>(constructed response)</t>
        </is>
      </c>
      <c r="J67" s="2" t="inlineStr">
        <is>
          <t>40 m</t>
        </is>
      </c>
      <c r="K67" s="2" t="inlineStr">
        <is>
          <t>OT is perpendicular to the tangent PT, so PT = root(41^2 - 9^2) = root 1600 = 40 m.</t>
        </is>
      </c>
      <c r="L67" s="2" t="n">
        <v>3</v>
      </c>
      <c r="M67" s="2" t="inlineStr">
        <is>
          <t>Maths_SecP1X_2026-27.pdf Page 4</t>
        </is>
      </c>
      <c r="N67" s="2" t="inlineStr">
        <is>
          <t>draft / unverified / REVIEW_PENDING</t>
        </is>
      </c>
      <c r="O67" s="3" t="inlineStr"/>
      <c r="P67" s="3" t="inlineStr"/>
      <c r="Q67" s="3" t="inlineStr"/>
      <c r="R67" s="3" t="inlineStr"/>
      <c r="S67" s="3" t="inlineStr"/>
      <c r="T67" s="3" t="inlineStr"/>
      <c r="U67" s="3" t="inlineStr"/>
    </row>
    <row r="68" ht="46" customHeight="1">
      <c r="A68" s="2" t="inlineStr">
        <is>
          <t>C10-2627-MATH-REQ027-DIAG-005</t>
        </is>
      </c>
      <c r="B68" s="2" t="inlineStr">
        <is>
          <t>Mathematics</t>
        </is>
      </c>
      <c r="C68" s="2" t="inlineStr">
        <is>
          <t>Geometry</t>
        </is>
      </c>
      <c r="D68" s="2" t="inlineStr">
        <is>
          <t>Circles</t>
        </is>
      </c>
      <c r="E68" s="2" t="inlineStr">
        <is>
          <t>REQ_MATH_2026_027, REQ_MATH_2026_028</t>
        </is>
      </c>
      <c r="F68" s="2" t="inlineStr">
        <is>
          <t>LO_M10.1.1 — Prove and apply theorems regarding tangents to a circle from an external point.</t>
        </is>
      </c>
      <c r="G68" s="2" t="inlineStr">
        <is>
          <t>Tangents to a Circle</t>
        </is>
      </c>
      <c r="H68" s="2" t="inlineStr">
        <is>
          <t>Assertion (A): The radius drawn to the point of contact is perpendicular to the tangent.
Reason (R): The shortest distance from the centre to a tangent line is along the perpendicular from the centre.
Choose the correct option.</t>
        </is>
      </c>
      <c r="I68" s="2" t="inlineStr">
        <is>
          <t>A. Both A and R are true and R is the correct explanation of A.
B. Both A and R are true but R is not the correct explanation of A.
C. A is true but R is false.
D. A is false but R is true.</t>
        </is>
      </c>
      <c r="J68" s="2" t="inlineStr">
        <is>
          <t>Both A and R are true and R is the correct explanation of A.</t>
        </is>
      </c>
      <c r="K68" s="2" t="inlineStr">
        <is>
          <t>Every point of the tangent except the point of contact lies outside the circle, so the point of contact is the nearest point and the radius to it is perpendicular.</t>
        </is>
      </c>
      <c r="L68" s="2" t="n">
        <v>2</v>
      </c>
      <c r="M68" s="2" t="inlineStr">
        <is>
          <t>Maths_SecP1X_2026-27.pdf Page 4</t>
        </is>
      </c>
      <c r="N68" s="2" t="inlineStr">
        <is>
          <t>draft / unverified / REVIEW_PENDING</t>
        </is>
      </c>
      <c r="O68" s="3" t="inlineStr"/>
      <c r="P68" s="3" t="inlineStr"/>
      <c r="Q68" s="3" t="inlineStr"/>
      <c r="R68" s="3" t="inlineStr"/>
      <c r="S68" s="3" t="inlineStr"/>
      <c r="T68" s="3" t="inlineStr"/>
      <c r="U68" s="3" t="inlineStr"/>
    </row>
    <row r="69" ht="46" customHeight="1">
      <c r="A69" s="2" t="inlineStr">
        <is>
          <t>C10-2627-MATH-REQ027-DIAG-006</t>
        </is>
      </c>
      <c r="B69" s="2" t="inlineStr">
        <is>
          <t>Mathematics</t>
        </is>
      </c>
      <c r="C69" s="2" t="inlineStr">
        <is>
          <t>Geometry</t>
        </is>
      </c>
      <c r="D69" s="2" t="inlineStr">
        <is>
          <t>Circles</t>
        </is>
      </c>
      <c r="E69" s="2" t="inlineStr">
        <is>
          <t>REQ_MATH_2026_027, REQ_MATH_2026_028</t>
        </is>
      </c>
      <c r="F69" s="2" t="inlineStr">
        <is>
          <t>LO_M10.1.1 — Prove and apply theorems regarding tangents to a circle from an external point.</t>
        </is>
      </c>
      <c r="G69" s="2" t="inlineStr">
        <is>
          <t>Tangents to a Circle</t>
        </is>
      </c>
      <c r="H69" s="2" t="inlineStr">
        <is>
          <t>State whether the following is true or false, and justify in one line: A line that meets a circle at two distinct points is called a tangent.</t>
        </is>
      </c>
      <c r="I69" s="2" t="inlineStr">
        <is>
          <t>A. True
B. False</t>
        </is>
      </c>
      <c r="J69" s="2" t="inlineStr">
        <is>
          <t>False</t>
        </is>
      </c>
      <c r="K69" s="2" t="inlineStr">
        <is>
          <t>Such a line is a secant. A tangent meets the circle at exactly one point.</t>
        </is>
      </c>
      <c r="L69" s="2" t="n">
        <v>1</v>
      </c>
      <c r="M69" s="2" t="inlineStr">
        <is>
          <t>Maths_SecP1X_2026-27.pdf Page 4</t>
        </is>
      </c>
      <c r="N69" s="2" t="inlineStr">
        <is>
          <t>draft / unverified / REVIEW_PENDING</t>
        </is>
      </c>
      <c r="O69" s="3" t="inlineStr"/>
      <c r="P69" s="3" t="inlineStr"/>
      <c r="Q69" s="3" t="inlineStr"/>
      <c r="R69" s="3" t="inlineStr"/>
      <c r="S69" s="3" t="inlineStr"/>
      <c r="T69" s="3" t="inlineStr"/>
      <c r="U69" s="3" t="inlineStr"/>
    </row>
    <row r="70" ht="46" customHeight="1">
      <c r="A70" s="2" t="inlineStr">
        <is>
          <t>C10-2627-MATH-REQ027-DIAG-007</t>
        </is>
      </c>
      <c r="B70" s="2" t="inlineStr">
        <is>
          <t>Mathematics</t>
        </is>
      </c>
      <c r="C70" s="2" t="inlineStr">
        <is>
          <t>Geometry</t>
        </is>
      </c>
      <c r="D70" s="2" t="inlineStr">
        <is>
          <t>Circles</t>
        </is>
      </c>
      <c r="E70" s="2" t="inlineStr">
        <is>
          <t>REQ_MATH_2026_027, REQ_MATH_2026_028</t>
        </is>
      </c>
      <c r="F70" s="2" t="inlineStr">
        <is>
          <t>LO_M10.1.1 — Prove and apply theorems regarding tangents to a circle from an external point.</t>
        </is>
      </c>
      <c r="G70" s="2" t="inlineStr">
        <is>
          <t>Tangents to a Circle</t>
        </is>
      </c>
      <c r="H70" s="2" t="inlineStr">
        <is>
          <t>Two tangents drawn from an external point P to a circle of radius 6 cm are inclined to each other at 60 degrees. Find the distance OP.</t>
        </is>
      </c>
      <c r="I70" s="2" t="inlineStr">
        <is>
          <t>(constructed response)</t>
        </is>
      </c>
      <c r="J70" s="2" t="inlineStr">
        <is>
          <t>12 cm</t>
        </is>
      </c>
      <c r="K70" s="2" t="inlineStr">
        <is>
          <t>OP bisects the angle between the tangents, so in the right triangle sin 30 degrees = 6/OP, giving OP = 6 / 0.5 = 12 cm.</t>
        </is>
      </c>
      <c r="L70" s="2" t="n">
        <v>4</v>
      </c>
      <c r="M70" s="2" t="inlineStr">
        <is>
          <t>Maths_SecP1X_2026-27.pdf Page 4</t>
        </is>
      </c>
      <c r="N70" s="2" t="inlineStr">
        <is>
          <t>draft / unverified / REVIEW_PENDING</t>
        </is>
      </c>
      <c r="O70" s="3" t="inlineStr"/>
      <c r="P70" s="3" t="inlineStr"/>
      <c r="Q70" s="3" t="inlineStr"/>
      <c r="R70" s="3" t="inlineStr"/>
      <c r="S70" s="3" t="inlineStr"/>
      <c r="T70" s="3" t="inlineStr"/>
      <c r="U70" s="3" t="inlineStr"/>
    </row>
    <row r="71" ht="46" customHeight="1">
      <c r="A71" s="2" t="inlineStr">
        <is>
          <t>C10-2627-MATH-REQ027-REASS-001</t>
        </is>
      </c>
      <c r="B71" s="2" t="inlineStr">
        <is>
          <t>Mathematics</t>
        </is>
      </c>
      <c r="C71" s="2" t="inlineStr">
        <is>
          <t>Geometry</t>
        </is>
      </c>
      <c r="D71" s="2" t="inlineStr">
        <is>
          <t>Circles</t>
        </is>
      </c>
      <c r="E71" s="2" t="inlineStr">
        <is>
          <t>REQ_MATH_2026_027, REQ_MATH_2026_028</t>
        </is>
      </c>
      <c r="F71" s="2" t="inlineStr">
        <is>
          <t>LO_M10.1.1 — Prove and apply theorems regarding tangents to a circle from an external point.</t>
        </is>
      </c>
      <c r="G71" s="2" t="inlineStr">
        <is>
          <t>Tangents to a Circle</t>
        </is>
      </c>
      <c r="H71" s="2" t="inlineStr">
        <is>
          <t>The radius of a circle with centre O is 7 cm and a point P lies 25 cm from O. Find the length of the tangent from P to the circle.</t>
        </is>
      </c>
      <c r="I71" s="2" t="inlineStr">
        <is>
          <t>(constructed response)</t>
        </is>
      </c>
      <c r="J71" s="2" t="inlineStr">
        <is>
          <t>24 cm</t>
        </is>
      </c>
      <c r="K71" s="2" t="inlineStr">
        <is>
          <t>The tangent length is root(25^2 - 7^2) = root 576 = 24 cm.</t>
        </is>
      </c>
      <c r="L71" s="2" t="n">
        <v>2</v>
      </c>
      <c r="M71" s="2" t="inlineStr">
        <is>
          <t>Maths_SecP1X_2026-27.pdf Page 4</t>
        </is>
      </c>
      <c r="N71" s="2" t="inlineStr">
        <is>
          <t>draft / unverified / REVIEW_PENDING</t>
        </is>
      </c>
      <c r="O71" s="3" t="inlineStr"/>
      <c r="P71" s="3" t="inlineStr"/>
      <c r="Q71" s="3" t="inlineStr"/>
      <c r="R71" s="3" t="inlineStr"/>
      <c r="S71" s="3" t="inlineStr"/>
      <c r="T71" s="3" t="inlineStr"/>
      <c r="U71" s="3" t="inlineStr"/>
    </row>
    <row r="72" ht="46" customHeight="1">
      <c r="A72" s="2" t="inlineStr">
        <is>
          <t>C10-2627-MATH-REQ027-REASS-002</t>
        </is>
      </c>
      <c r="B72" s="2" t="inlineStr">
        <is>
          <t>Mathematics</t>
        </is>
      </c>
      <c r="C72" s="2" t="inlineStr">
        <is>
          <t>Geometry</t>
        </is>
      </c>
      <c r="D72" s="2" t="inlineStr">
        <is>
          <t>Circles</t>
        </is>
      </c>
      <c r="E72" s="2" t="inlineStr">
        <is>
          <t>REQ_MATH_2026_027, REQ_MATH_2026_028</t>
        </is>
      </c>
      <c r="F72" s="2" t="inlineStr">
        <is>
          <t>LO_M10.1.1 — Prove and apply theorems regarding tangents to a circle from an external point.</t>
        </is>
      </c>
      <c r="G72" s="2" t="inlineStr">
        <is>
          <t>Tangents to a Circle</t>
        </is>
      </c>
      <c r="H72" s="2" t="inlineStr">
        <is>
          <t>The tangents drawn at the two ends of a diameter of a circle are</t>
        </is>
      </c>
      <c r="I72" s="2" t="inlineStr">
        <is>
          <t>A. intersecting at the centre
B. parallel to each other
C. perpendicular to each other
D. inclined at 60 degrees</t>
        </is>
      </c>
      <c r="J72" s="2" t="inlineStr">
        <is>
          <t>parallel to each other</t>
        </is>
      </c>
      <c r="K72" s="2" t="inlineStr">
        <is>
          <t>Both tangents are perpendicular to the same diameter, so they are parallel.</t>
        </is>
      </c>
      <c r="L72" s="2" t="n">
        <v>2</v>
      </c>
      <c r="M72" s="2" t="inlineStr">
        <is>
          <t>Maths_SecP1X_2026-27.pdf Page 4</t>
        </is>
      </c>
      <c r="N72" s="2" t="inlineStr">
        <is>
          <t>draft / unverified / REVIEW_PENDING</t>
        </is>
      </c>
      <c r="O72" s="3" t="inlineStr"/>
      <c r="P72" s="3" t="inlineStr"/>
      <c r="Q72" s="3" t="inlineStr"/>
      <c r="R72" s="3" t="inlineStr"/>
      <c r="S72" s="3" t="inlineStr"/>
      <c r="T72" s="3" t="inlineStr"/>
      <c r="U72" s="3" t="inlineStr"/>
    </row>
    <row r="73" ht="46" customHeight="1">
      <c r="A73" s="2" t="inlineStr">
        <is>
          <t>C10-2627-MATH-REQ027-REASS-003</t>
        </is>
      </c>
      <c r="B73" s="2" t="inlineStr">
        <is>
          <t>Mathematics</t>
        </is>
      </c>
      <c r="C73" s="2" t="inlineStr">
        <is>
          <t>Geometry</t>
        </is>
      </c>
      <c r="D73" s="2" t="inlineStr">
        <is>
          <t>Circles</t>
        </is>
      </c>
      <c r="E73" s="2" t="inlineStr">
        <is>
          <t>REQ_MATH_2026_027, REQ_MATH_2026_028</t>
        </is>
      </c>
      <c r="F73" s="2" t="inlineStr">
        <is>
          <t>LO_M10.1.1 — Prove and apply theorems regarding tangents to a circle from an external point.</t>
        </is>
      </c>
      <c r="G73" s="2" t="inlineStr">
        <is>
          <t>Tangents to a Circle</t>
        </is>
      </c>
      <c r="H73" s="2" t="inlineStr">
        <is>
          <t>A quadrilateral ABCD circumscribes a circle. If AB = 6 cm, BC = 7 cm and CD = 4 cm, find DA.</t>
        </is>
      </c>
      <c r="I73" s="2" t="inlineStr">
        <is>
          <t>(constructed response)</t>
        </is>
      </c>
      <c r="J73" s="2" t="inlineStr">
        <is>
          <t>3 cm</t>
        </is>
      </c>
      <c r="K73" s="2" t="inlineStr">
        <is>
          <t>For a circumscribing quadrilateral AB + CD = BC + DA, so 6 + 4 = 7 + DA and DA = 3 cm.</t>
        </is>
      </c>
      <c r="L73" s="2" t="n">
        <v>3</v>
      </c>
      <c r="M73" s="2" t="inlineStr">
        <is>
          <t>Maths_SecP1X_2026-27.pdf Page 4</t>
        </is>
      </c>
      <c r="N73" s="2" t="inlineStr">
        <is>
          <t>draft / unverified / REVIEW_PENDING</t>
        </is>
      </c>
      <c r="O73" s="3" t="inlineStr"/>
      <c r="P73" s="3" t="inlineStr"/>
      <c r="Q73" s="3" t="inlineStr"/>
      <c r="R73" s="3" t="inlineStr"/>
      <c r="S73" s="3" t="inlineStr"/>
      <c r="T73" s="3" t="inlineStr"/>
      <c r="U73" s="3" t="inlineStr"/>
    </row>
    <row r="74" ht="46" customHeight="1">
      <c r="A74" s="2" t="inlineStr">
        <is>
          <t>C10-2627-MATH-REQ027-REASS-004</t>
        </is>
      </c>
      <c r="B74" s="2" t="inlineStr">
        <is>
          <t>Mathematics</t>
        </is>
      </c>
      <c r="C74" s="2" t="inlineStr">
        <is>
          <t>Geometry</t>
        </is>
      </c>
      <c r="D74" s="2" t="inlineStr">
        <is>
          <t>Circles</t>
        </is>
      </c>
      <c r="E74" s="2" t="inlineStr">
        <is>
          <t>REQ_MATH_2026_027, REQ_MATH_2026_028</t>
        </is>
      </c>
      <c r="F74" s="2" t="inlineStr">
        <is>
          <t>LO_M10.1.1 — Prove and apply theorems regarding tangents to a circle from an external point.</t>
        </is>
      </c>
      <c r="G74" s="2" t="inlineStr">
        <is>
          <t>Tangents to a Circle</t>
        </is>
      </c>
      <c r="H74" s="2" t="inlineStr">
        <is>
          <t>A cable is stretched from a hook H on a wall to the rim of a circular drum of radius 8 cm so that the cable just touches the drum. The centre of the drum is 17 cm from the hook.
Find the length of the cable from the hook to the point where it touches the drum.</t>
        </is>
      </c>
      <c r="I74" s="2" t="inlineStr">
        <is>
          <t>(constructed response)</t>
        </is>
      </c>
      <c r="J74" s="2" t="inlineStr">
        <is>
          <t>15 cm</t>
        </is>
      </c>
      <c r="K74" s="2" t="inlineStr">
        <is>
          <t>The cable is a tangent, so its length is root(17^2 - 8^2) = root 225 = 15 cm.</t>
        </is>
      </c>
      <c r="L74" s="2" t="n">
        <v>3</v>
      </c>
      <c r="M74" s="2" t="inlineStr">
        <is>
          <t>Maths_SecP1X_2026-27.pdf Page 4</t>
        </is>
      </c>
      <c r="N74" s="2" t="inlineStr">
        <is>
          <t>draft / unverified / REVIEW_PENDING</t>
        </is>
      </c>
      <c r="O74" s="3" t="inlineStr"/>
      <c r="P74" s="3" t="inlineStr"/>
      <c r="Q74" s="3" t="inlineStr"/>
      <c r="R74" s="3" t="inlineStr"/>
      <c r="S74" s="3" t="inlineStr"/>
      <c r="T74" s="3" t="inlineStr"/>
      <c r="U74" s="3" t="inlineStr"/>
    </row>
    <row r="75" ht="46" customHeight="1">
      <c r="A75" s="2" t="inlineStr">
        <is>
          <t>C10-2627-MATH-REQ027-REASS-005</t>
        </is>
      </c>
      <c r="B75" s="2" t="inlineStr">
        <is>
          <t>Mathematics</t>
        </is>
      </c>
      <c r="C75" s="2" t="inlineStr">
        <is>
          <t>Geometry</t>
        </is>
      </c>
      <c r="D75" s="2" t="inlineStr">
        <is>
          <t>Circles</t>
        </is>
      </c>
      <c r="E75" s="2" t="inlineStr">
        <is>
          <t>REQ_MATH_2026_027, REQ_MATH_2026_028</t>
        </is>
      </c>
      <c r="F75" s="2" t="inlineStr">
        <is>
          <t>LO_M10.1.1 — Prove and apply theorems regarding tangents to a circle from an external point.</t>
        </is>
      </c>
      <c r="G75" s="2" t="inlineStr">
        <is>
          <t>Tangents to a Circle</t>
        </is>
      </c>
      <c r="H75" s="2" t="inlineStr">
        <is>
          <t>Assertion (A): Two tangents can be drawn to a circle from a point lying inside it.
Reason (R): A tangent to a circle touches the circle at exactly one point.
Choose the correct option.</t>
        </is>
      </c>
      <c r="I75" s="2" t="inlineStr">
        <is>
          <t>A. Both A and R are true and R is the correct explanation of A.
B. Both A and R are true but R is not the correct explanation of A.
C. A is true but R is false.
D. A is false but R is true.</t>
        </is>
      </c>
      <c r="J75" s="2" t="inlineStr">
        <is>
          <t>A is false but R is true.</t>
        </is>
      </c>
      <c r="K75" s="2" t="inlineStr">
        <is>
          <t>No tangent can be drawn from an interior point, so A is false. R correctly defines a tangent.</t>
        </is>
      </c>
      <c r="L75" s="2" t="n">
        <v>2</v>
      </c>
      <c r="M75" s="2" t="inlineStr">
        <is>
          <t>Maths_SecP1X_2026-27.pdf Page 4</t>
        </is>
      </c>
      <c r="N75" s="2" t="inlineStr">
        <is>
          <t>draft / unverified / REVIEW_PENDING</t>
        </is>
      </c>
      <c r="O75" s="3" t="inlineStr"/>
      <c r="P75" s="3" t="inlineStr"/>
      <c r="Q75" s="3" t="inlineStr"/>
      <c r="R75" s="3" t="inlineStr"/>
      <c r="S75" s="3" t="inlineStr"/>
      <c r="T75" s="3" t="inlineStr"/>
      <c r="U75" s="3" t="inlineStr"/>
    </row>
    <row r="76" ht="46" customHeight="1">
      <c r="A76" s="2" t="inlineStr">
        <is>
          <t>C10-2627-MATH-REQ027-REASS-006</t>
        </is>
      </c>
      <c r="B76" s="2" t="inlineStr">
        <is>
          <t>Mathematics</t>
        </is>
      </c>
      <c r="C76" s="2" t="inlineStr">
        <is>
          <t>Geometry</t>
        </is>
      </c>
      <c r="D76" s="2" t="inlineStr">
        <is>
          <t>Circles</t>
        </is>
      </c>
      <c r="E76" s="2" t="inlineStr">
        <is>
          <t>REQ_MATH_2026_027, REQ_MATH_2026_028</t>
        </is>
      </c>
      <c r="F76" s="2" t="inlineStr">
        <is>
          <t>LO_M10.1.1 — Prove and apply theorems regarding tangents to a circle from an external point.</t>
        </is>
      </c>
      <c r="G76" s="2" t="inlineStr">
        <is>
          <t>Tangents to a Circle</t>
        </is>
      </c>
      <c r="H76" s="2" t="inlineStr">
        <is>
          <t>The two tangents from an external point P to a circle of radius 5 cm are perpendicular to each other. Find OP.</t>
        </is>
      </c>
      <c r="I76" s="2" t="inlineStr">
        <is>
          <t>(constructed response)</t>
        </is>
      </c>
      <c r="J76" s="2" t="inlineStr">
        <is>
          <t>5 root 2 cm</t>
        </is>
      </c>
      <c r="K76" s="2" t="inlineStr">
        <is>
          <t>OP bisects the right angle, so sin 45 degrees = 5/OP and OP = 5 / (1/root 2) = 5 root 2 cm, approximately 7.07 cm.</t>
        </is>
      </c>
      <c r="L76" s="2" t="n">
        <v>4</v>
      </c>
      <c r="M76" s="2" t="inlineStr">
        <is>
          <t>Maths_SecP1X_2026-27.pdf Page 4</t>
        </is>
      </c>
      <c r="N76" s="2" t="inlineStr">
        <is>
          <t>draft / unverified / REVIEW_PENDING</t>
        </is>
      </c>
      <c r="O76" s="3" t="inlineStr"/>
      <c r="P76" s="3" t="inlineStr"/>
      <c r="Q76" s="3" t="inlineStr"/>
      <c r="R76" s="3" t="inlineStr"/>
      <c r="S76" s="3" t="inlineStr"/>
      <c r="T76" s="3" t="inlineStr"/>
      <c r="U76" s="3" t="inlineStr"/>
    </row>
    <row r="77" ht="46" customHeight="1">
      <c r="A77" s="2" t="inlineStr">
        <is>
          <t>C10-2627-MATH-REQ027-REASS-007</t>
        </is>
      </c>
      <c r="B77" s="2" t="inlineStr">
        <is>
          <t>Mathematics</t>
        </is>
      </c>
      <c r="C77" s="2" t="inlineStr">
        <is>
          <t>Geometry</t>
        </is>
      </c>
      <c r="D77" s="2" t="inlineStr">
        <is>
          <t>Circles</t>
        </is>
      </c>
      <c r="E77" s="2" t="inlineStr">
        <is>
          <t>REQ_MATH_2026_027, REQ_MATH_2026_028</t>
        </is>
      </c>
      <c r="F77" s="2" t="inlineStr">
        <is>
          <t>LO_M10.1.1 — Prove and apply theorems regarding tangents to a circle from an external point.</t>
        </is>
      </c>
      <c r="G77" s="2" t="inlineStr">
        <is>
          <t>Tangents to a Circle</t>
        </is>
      </c>
      <c r="H77" s="2" t="inlineStr">
        <is>
          <t>State whether the following is true or false, and justify in one line: The lengths of the two tangent segments drawn from an external point to a circle are equal.</t>
        </is>
      </c>
      <c r="I77" s="2" t="inlineStr">
        <is>
          <t>A. True
B. False</t>
        </is>
      </c>
      <c r="J77" s="2" t="inlineStr">
        <is>
          <t>True</t>
        </is>
      </c>
      <c r="K77" s="2" t="inlineStr">
        <is>
          <t>The two right triangles formed with the radii are congruent by RHS, so the tangent segments are equal.</t>
        </is>
      </c>
      <c r="L77" s="2" t="n">
        <v>1</v>
      </c>
      <c r="M77" s="2" t="inlineStr">
        <is>
          <t>Maths_SecP1X_2026-27.pdf Page 4</t>
        </is>
      </c>
      <c r="N77" s="2" t="inlineStr">
        <is>
          <t>draft / unverified / REVIEW_PENDING</t>
        </is>
      </c>
      <c r="O77" s="3" t="inlineStr"/>
      <c r="P77" s="3" t="inlineStr"/>
      <c r="Q77" s="3" t="inlineStr"/>
      <c r="R77" s="3" t="inlineStr"/>
      <c r="S77" s="3" t="inlineStr"/>
      <c r="T77" s="3" t="inlineStr"/>
      <c r="U77" s="3" t="inlineStr"/>
    </row>
    <row r="78" ht="46" customHeight="1">
      <c r="A78" s="2" t="inlineStr">
        <is>
          <t>C10-2627-MATH-REQ027-REASS-008</t>
        </is>
      </c>
      <c r="B78" s="2" t="inlineStr">
        <is>
          <t>Mathematics</t>
        </is>
      </c>
      <c r="C78" s="2" t="inlineStr">
        <is>
          <t>Geometry</t>
        </is>
      </c>
      <c r="D78" s="2" t="inlineStr">
        <is>
          <t>Circles</t>
        </is>
      </c>
      <c r="E78" s="2" t="inlineStr">
        <is>
          <t>REQ_MATH_2026_027, REQ_MATH_2026_028</t>
        </is>
      </c>
      <c r="F78" s="2" t="inlineStr">
        <is>
          <t>LO_M10.1.1 — Prove and apply theorems regarding tangents to a circle from an external point.</t>
        </is>
      </c>
      <c r="G78" s="2" t="inlineStr">
        <is>
          <t>Tangents to a Circle</t>
        </is>
      </c>
      <c r="H78" s="2" t="inlineStr">
        <is>
          <t>PA is a tangent to a circle with centre O touching it at A. If OA = 8 cm and PA = 15 cm, find OP.</t>
        </is>
      </c>
      <c r="I78" s="2" t="inlineStr">
        <is>
          <t>(constructed response)</t>
        </is>
      </c>
      <c r="J78" s="2" t="inlineStr">
        <is>
          <t>17 cm</t>
        </is>
      </c>
      <c r="K78" s="2" t="inlineStr">
        <is>
          <t>Angle OAP is a right angle, so OP = root(8^2 + 15^2) = root 289 = 17 cm.</t>
        </is>
      </c>
      <c r="L78" s="2" t="n">
        <v>2</v>
      </c>
      <c r="M78" s="2" t="inlineStr">
        <is>
          <t>Maths_SecP1X_2026-27.pdf Page 4</t>
        </is>
      </c>
      <c r="N78" s="2" t="inlineStr">
        <is>
          <t>draft / unverified / REVIEW_PENDING</t>
        </is>
      </c>
      <c r="O78" s="3" t="inlineStr"/>
      <c r="P78" s="3" t="inlineStr"/>
      <c r="Q78" s="3" t="inlineStr"/>
      <c r="R78" s="3" t="inlineStr"/>
      <c r="S78" s="3" t="inlineStr"/>
      <c r="T78" s="3" t="inlineStr"/>
      <c r="U78" s="3" t="inlineStr"/>
    </row>
    <row r="79" ht="46" customHeight="1">
      <c r="A79" s="2" t="inlineStr">
        <is>
          <t>C10-2627-MATH-REQ027-REASS-009</t>
        </is>
      </c>
      <c r="B79" s="2" t="inlineStr">
        <is>
          <t>Mathematics</t>
        </is>
      </c>
      <c r="C79" s="2" t="inlineStr">
        <is>
          <t>Geometry</t>
        </is>
      </c>
      <c r="D79" s="2" t="inlineStr">
        <is>
          <t>Circles</t>
        </is>
      </c>
      <c r="E79" s="2" t="inlineStr">
        <is>
          <t>REQ_MATH_2026_027, REQ_MATH_2026_028</t>
        </is>
      </c>
      <c r="F79" s="2" t="inlineStr">
        <is>
          <t>LO_M10.1.1 — Prove and apply theorems regarding tangents to a circle from an external point.</t>
        </is>
      </c>
      <c r="G79" s="2" t="inlineStr">
        <is>
          <t>Tangents to a Circle</t>
        </is>
      </c>
      <c r="H79" s="2" t="inlineStr">
        <is>
          <t>PA is a tangent to a circle with centre O at the point A. If angle AOP is 60 degrees, then angle OPA is</t>
        </is>
      </c>
      <c r="I79" s="2" t="inlineStr">
        <is>
          <t>A. 45 degrees
B. 90 degrees
C. 30 degrees
D. 60 degrees</t>
        </is>
      </c>
      <c r="J79" s="2" t="inlineStr">
        <is>
          <t>30 degrees</t>
        </is>
      </c>
      <c r="K79" s="2" t="inlineStr">
        <is>
          <t>Angle OAP is 90 degrees, so the remaining angle of the triangle is 180 - 90 - 60 = 30 degrees.</t>
        </is>
      </c>
      <c r="L79" s="2" t="n">
        <v>3</v>
      </c>
      <c r="M79" s="2" t="inlineStr">
        <is>
          <t>Maths_SecP1X_2026-27.pdf Page 4</t>
        </is>
      </c>
      <c r="N79" s="2" t="inlineStr">
        <is>
          <t>draft / unverified / REVIEW_PENDING</t>
        </is>
      </c>
      <c r="O79" s="3" t="inlineStr"/>
      <c r="P79" s="3" t="inlineStr"/>
      <c r="Q79" s="3" t="inlineStr"/>
      <c r="R79" s="3" t="inlineStr"/>
      <c r="S79" s="3" t="inlineStr"/>
      <c r="T79" s="3" t="inlineStr"/>
      <c r="U79" s="3" t="inlineStr"/>
    </row>
    <row r="80" ht="46" customHeight="1">
      <c r="A80" s="2" t="inlineStr">
        <is>
          <t>C10-2627-MATH-REQ027-REASS-010</t>
        </is>
      </c>
      <c r="B80" s="2" t="inlineStr">
        <is>
          <t>Mathematics</t>
        </is>
      </c>
      <c r="C80" s="2" t="inlineStr">
        <is>
          <t>Geometry</t>
        </is>
      </c>
      <c r="D80" s="2" t="inlineStr">
        <is>
          <t>Circles</t>
        </is>
      </c>
      <c r="E80" s="2" t="inlineStr">
        <is>
          <t>REQ_MATH_2026_027, REQ_MATH_2026_028</t>
        </is>
      </c>
      <c r="F80" s="2" t="inlineStr">
        <is>
          <t>LO_M10.1.1 — Prove and apply theorems regarding tangents to a circle from an external point.</t>
        </is>
      </c>
      <c r="G80" s="2" t="inlineStr">
        <is>
          <t>Tangents to a Circle</t>
        </is>
      </c>
      <c r="H80" s="2" t="inlineStr">
        <is>
          <t>For a circle of centre O and radius r, tangents are drawn from external points:
| Point | OP (cm) | r (cm) |
| P1 | 10 | 6 |
| P2 | 26 | 10 |
Which point has the longer tangent segment, and what is its length?</t>
        </is>
      </c>
      <c r="I80" s="2" t="inlineStr">
        <is>
          <t>(constructed response)</t>
        </is>
      </c>
      <c r="J80" s="2" t="inlineStr">
        <is>
          <t>P2, with a tangent length of 24 cm</t>
        </is>
      </c>
      <c r="K80" s="2" t="inlineStr">
        <is>
          <t>Tangent lengths are root(100 - 36) = 8 cm and root(676 - 100) = 24 cm, so P2 gives the longer segment.</t>
        </is>
      </c>
      <c r="L80" s="2" t="n">
        <v>3</v>
      </c>
      <c r="M80" s="2" t="inlineStr">
        <is>
          <t>Maths_SecP1X_2026-27.pdf Page 4</t>
        </is>
      </c>
      <c r="N80" s="2" t="inlineStr">
        <is>
          <t>draft / unverified / REVIEW_PENDING</t>
        </is>
      </c>
      <c r="O80" s="3" t="inlineStr"/>
      <c r="P80" s="3" t="inlineStr"/>
      <c r="Q80" s="3" t="inlineStr"/>
      <c r="R80" s="3" t="inlineStr"/>
      <c r="S80" s="3" t="inlineStr"/>
      <c r="T80" s="3" t="inlineStr"/>
      <c r="U80" s="3" t="inlineStr"/>
    </row>
    <row r="81" ht="46" customHeight="1">
      <c r="A81" s="2" t="inlineStr">
        <is>
          <t>C10-2627-MATH-REQ024-DIAG-001</t>
        </is>
      </c>
      <c r="B81" s="2" t="inlineStr">
        <is>
          <t>Mathematics</t>
        </is>
      </c>
      <c r="C81" s="2" t="inlineStr">
        <is>
          <t>Geometry</t>
        </is>
      </c>
      <c r="D81" s="2" t="inlineStr">
        <is>
          <t>Triangles</t>
        </is>
      </c>
      <c r="E81" s="2" t="inlineStr">
        <is>
          <t>REQ_MATH_2026_024, REQ_MATH_2026_025, REQ_MATH_2026_026</t>
        </is>
      </c>
      <c r="F81" s="2" t="inlineStr">
        <is>
          <t>LO_M6.1.1 — State and apply Basic Proportionality Theorem (Thales Theorem) and criteria for similarity (AAA, SAS, SSS).</t>
        </is>
      </c>
      <c r="G81" s="2" t="inlineStr">
        <is>
          <t>Similarity of Triangles and Basic Proportionality Theorem</t>
        </is>
      </c>
      <c r="H81" s="2" t="inlineStr">
        <is>
          <t>In triangle ABC, D lies on AB and E lies on AC with DE parallel to BC. If AD = 3 cm, DB = 5 cm and AE = 4 cm, find EC.</t>
        </is>
      </c>
      <c r="I81" s="2" t="inlineStr">
        <is>
          <t>(constructed response)</t>
        </is>
      </c>
      <c r="J81" s="2" t="inlineStr">
        <is>
          <t>20/3 cm</t>
        </is>
      </c>
      <c r="K81" s="2" t="inlineStr">
        <is>
          <t>By the Basic Proportionality Theorem AD/DB = AE/EC, so 3/5 = 4/EC and EC = 20/3 cm.</t>
        </is>
      </c>
      <c r="L81" s="2" t="n">
        <v>3</v>
      </c>
      <c r="M81" s="2" t="inlineStr">
        <is>
          <t>Maths_SecP1X_2026-27.pdf Page 4</t>
        </is>
      </c>
      <c r="N81" s="2" t="inlineStr">
        <is>
          <t>draft / unverified / REVIEW_PENDING</t>
        </is>
      </c>
      <c r="O81" s="3" t="inlineStr"/>
      <c r="P81" s="3" t="inlineStr"/>
      <c r="Q81" s="3" t="inlineStr"/>
      <c r="R81" s="3" t="inlineStr"/>
      <c r="S81" s="3" t="inlineStr"/>
      <c r="T81" s="3" t="inlineStr"/>
      <c r="U81" s="3" t="inlineStr"/>
    </row>
    <row r="82" ht="46" customHeight="1">
      <c r="A82" s="2" t="inlineStr">
        <is>
          <t>C10-2627-MATH-REQ024-DIAG-002</t>
        </is>
      </c>
      <c r="B82" s="2" t="inlineStr">
        <is>
          <t>Mathematics</t>
        </is>
      </c>
      <c r="C82" s="2" t="inlineStr">
        <is>
          <t>Geometry</t>
        </is>
      </c>
      <c r="D82" s="2" t="inlineStr">
        <is>
          <t>Triangles</t>
        </is>
      </c>
      <c r="E82" s="2" t="inlineStr">
        <is>
          <t>REQ_MATH_2026_024, REQ_MATH_2026_025, REQ_MATH_2026_026</t>
        </is>
      </c>
      <c r="F82" s="2" t="inlineStr">
        <is>
          <t>LO_M6.1.1 — State and apply Basic Proportionality Theorem (Thales Theorem) and criteria for similarity (AAA, SAS, SSS).</t>
        </is>
      </c>
      <c r="G82" s="2" t="inlineStr">
        <is>
          <t>Similarity of Triangles and Basic Proportionality Theorem</t>
        </is>
      </c>
      <c r="H82" s="2" t="inlineStr">
        <is>
          <t>Two triangles are similar and their corresponding sides are in the ratio 3 : 5. The ratio of their areas is</t>
        </is>
      </c>
      <c r="I82" s="2" t="inlineStr">
        <is>
          <t>A. 27 : 125
B. 9 : 25
C. 3 : 5
D. 5 : 3</t>
        </is>
      </c>
      <c r="J82" s="2" t="inlineStr">
        <is>
          <t>9 : 25</t>
        </is>
      </c>
      <c r="K82" s="2" t="inlineStr">
        <is>
          <t>The areas of similar triangles are in the ratio of the squares of corresponding sides, that is 3^2 : 5^2 = 9 : 25.</t>
        </is>
      </c>
      <c r="L82" s="2" t="n">
        <v>2</v>
      </c>
      <c r="M82" s="2" t="inlineStr">
        <is>
          <t>Maths_SecP1X_2026-27.pdf Page 4</t>
        </is>
      </c>
      <c r="N82" s="2" t="inlineStr">
        <is>
          <t>draft / unverified / REVIEW_PENDING</t>
        </is>
      </c>
      <c r="O82" s="3" t="inlineStr"/>
      <c r="P82" s="3" t="inlineStr"/>
      <c r="Q82" s="3" t="inlineStr"/>
      <c r="R82" s="3" t="inlineStr"/>
      <c r="S82" s="3" t="inlineStr"/>
      <c r="T82" s="3" t="inlineStr"/>
      <c r="U82" s="3" t="inlineStr"/>
    </row>
    <row r="83" ht="46" customHeight="1">
      <c r="A83" s="2" t="inlineStr">
        <is>
          <t>C10-2627-MATH-REQ024-DIAG-003</t>
        </is>
      </c>
      <c r="B83" s="2" t="inlineStr">
        <is>
          <t>Mathematics</t>
        </is>
      </c>
      <c r="C83" s="2" t="inlineStr">
        <is>
          <t>Geometry</t>
        </is>
      </c>
      <c r="D83" s="2" t="inlineStr">
        <is>
          <t>Triangles</t>
        </is>
      </c>
      <c r="E83" s="2" t="inlineStr">
        <is>
          <t>REQ_MATH_2026_024, REQ_MATH_2026_025, REQ_MATH_2026_026</t>
        </is>
      </c>
      <c r="F83" s="2" t="inlineStr">
        <is>
          <t>LO_M6.1.1 — State and apply Basic Proportionality Theorem (Thales Theorem) and criteria for similarity (AAA, SAS, SSS).</t>
        </is>
      </c>
      <c r="G83" s="2" t="inlineStr">
        <is>
          <t>Similarity of Triangles and Basic Proportionality Theorem</t>
        </is>
      </c>
      <c r="H83" s="2" t="inlineStr">
        <is>
          <t>In one triangle two angles measure 50 degrees and 60 degrees. In another triangle two angles measure 60 degrees and 70 degrees. Are the triangles similar? Justify.</t>
        </is>
      </c>
      <c r="I83" s="2" t="inlineStr">
        <is>
          <t>(constructed response)</t>
        </is>
      </c>
      <c r="J83" s="2" t="inlineStr">
        <is>
          <t>Yes, by the AA criterion.</t>
        </is>
      </c>
      <c r="K83" s="2" t="inlineStr">
        <is>
          <t>The third angles are 70 degrees and 50 degrees respectively, so both triangles have angles 50, 60 and 70 degrees and two pairs of equal angles suffice.</t>
        </is>
      </c>
      <c r="L83" s="2" t="n">
        <v>2</v>
      </c>
      <c r="M83" s="2" t="inlineStr">
        <is>
          <t>Maths_SecP1X_2026-27.pdf Page 4</t>
        </is>
      </c>
      <c r="N83" s="2" t="inlineStr">
        <is>
          <t>draft / unverified / REVIEW_PENDING</t>
        </is>
      </c>
      <c r="O83" s="3" t="inlineStr"/>
      <c r="P83" s="3" t="inlineStr"/>
      <c r="Q83" s="3" t="inlineStr"/>
      <c r="R83" s="3" t="inlineStr"/>
      <c r="S83" s="3" t="inlineStr"/>
      <c r="T83" s="3" t="inlineStr"/>
      <c r="U83" s="3" t="inlineStr"/>
    </row>
    <row r="84" ht="46" customHeight="1">
      <c r="A84" s="2" t="inlineStr">
        <is>
          <t>C10-2627-MATH-REQ024-DIAG-004</t>
        </is>
      </c>
      <c r="B84" s="2" t="inlineStr">
        <is>
          <t>Mathematics</t>
        </is>
      </c>
      <c r="C84" s="2" t="inlineStr">
        <is>
          <t>Geometry</t>
        </is>
      </c>
      <c r="D84" s="2" t="inlineStr">
        <is>
          <t>Triangles</t>
        </is>
      </c>
      <c r="E84" s="2" t="inlineStr">
        <is>
          <t>REQ_MATH_2026_024, REQ_MATH_2026_025, REQ_MATH_2026_026</t>
        </is>
      </c>
      <c r="F84" s="2" t="inlineStr">
        <is>
          <t>LO_M6.1.1 — State and apply Basic Proportionality Theorem (Thales Theorem) and criteria for similarity (AAA, SAS, SSS).</t>
        </is>
      </c>
      <c r="G84" s="2" t="inlineStr">
        <is>
          <t>Similarity of Triangles and Basic Proportionality Theorem</t>
        </is>
      </c>
      <c r="H84" s="2" t="inlineStr">
        <is>
          <t>At the same moment on a sunny morning, a vertical pole 6 m tall casts a shadow 4 m long on level ground, and a nearby communication tower casts a shadow 28 m long.
Find the height of the tower, stating the similarity criterion used.</t>
        </is>
      </c>
      <c r="I84" s="2" t="inlineStr">
        <is>
          <t>(constructed response)</t>
        </is>
      </c>
      <c r="J84" s="2" t="inlineStr">
        <is>
          <t>42 m, by AA similarity</t>
        </is>
      </c>
      <c r="K84" s="2" t="inlineStr">
        <is>
          <t>The sun's rays make equal angles, so the two right triangles are similar by AA. Then h/28 = 6/4, giving h = 42 m.</t>
        </is>
      </c>
      <c r="L84" s="2" t="n">
        <v>3</v>
      </c>
      <c r="M84" s="2" t="inlineStr">
        <is>
          <t>Maths_SecP1X_2026-27.pdf Page 4</t>
        </is>
      </c>
      <c r="N84" s="2" t="inlineStr">
        <is>
          <t>draft / unverified / REVIEW_PENDING</t>
        </is>
      </c>
      <c r="O84" s="3" t="inlineStr"/>
      <c r="P84" s="3" t="inlineStr"/>
      <c r="Q84" s="3" t="inlineStr"/>
      <c r="R84" s="3" t="inlineStr"/>
      <c r="S84" s="3" t="inlineStr"/>
      <c r="T84" s="3" t="inlineStr"/>
      <c r="U84" s="3" t="inlineStr"/>
    </row>
    <row r="85" ht="46" customHeight="1">
      <c r="A85" s="2" t="inlineStr">
        <is>
          <t>C10-2627-MATH-REQ024-DIAG-005</t>
        </is>
      </c>
      <c r="B85" s="2" t="inlineStr">
        <is>
          <t>Mathematics</t>
        </is>
      </c>
      <c r="C85" s="2" t="inlineStr">
        <is>
          <t>Geometry</t>
        </is>
      </c>
      <c r="D85" s="2" t="inlineStr">
        <is>
          <t>Triangles</t>
        </is>
      </c>
      <c r="E85" s="2" t="inlineStr">
        <is>
          <t>REQ_MATH_2026_024, REQ_MATH_2026_025, REQ_MATH_2026_026</t>
        </is>
      </c>
      <c r="F85" s="2" t="inlineStr">
        <is>
          <t>LO_M6.1.1 — State and apply Basic Proportionality Theorem (Thales Theorem) and criteria for similarity (AAA, SAS, SSS).</t>
        </is>
      </c>
      <c r="G85" s="2" t="inlineStr">
        <is>
          <t>Similarity of Triangles and Basic Proportionality Theorem</t>
        </is>
      </c>
      <c r="H85" s="2" t="inlineStr">
        <is>
          <t>Assertion (A): In triangle PQR, if a line cuts PQ and PR in the same ratio then it is parallel to QR.
Reason (R): The converse of the Basic Proportionality Theorem holds for any triangle.
Choose the correct option.</t>
        </is>
      </c>
      <c r="I85" s="2" t="inlineStr">
        <is>
          <t>A. Both A and R are true and R is the correct explanation of A.
B. Both A and R are true but R is not the correct explanation of A.
C. A is true but R is false.
D. A is false but R is true.</t>
        </is>
      </c>
      <c r="J85" s="2" t="inlineStr">
        <is>
          <t>Both A and R are true and R is the correct explanation of A.</t>
        </is>
      </c>
      <c r="K85" s="2" t="inlineStr">
        <is>
          <t>The statement in A is precisely the converse named in R, which is a proved theorem for all triangles.</t>
        </is>
      </c>
      <c r="L85" s="2" t="n">
        <v>3</v>
      </c>
      <c r="M85" s="2" t="inlineStr">
        <is>
          <t>Maths_SecP1X_2026-27.pdf Page 4</t>
        </is>
      </c>
      <c r="N85" s="2" t="inlineStr">
        <is>
          <t>draft / unverified / REVIEW_PENDING</t>
        </is>
      </c>
      <c r="O85" s="3" t="inlineStr"/>
      <c r="P85" s="3" t="inlineStr"/>
      <c r="Q85" s="3" t="inlineStr"/>
      <c r="R85" s="3" t="inlineStr"/>
      <c r="S85" s="3" t="inlineStr"/>
      <c r="T85" s="3" t="inlineStr"/>
      <c r="U85" s="3" t="inlineStr"/>
    </row>
    <row r="86" ht="46" customHeight="1">
      <c r="A86" s="2" t="inlineStr">
        <is>
          <t>C10-2627-MATH-REQ024-DIAG-006</t>
        </is>
      </c>
      <c r="B86" s="2" t="inlineStr">
        <is>
          <t>Mathematics</t>
        </is>
      </c>
      <c r="C86" s="2" t="inlineStr">
        <is>
          <t>Geometry</t>
        </is>
      </c>
      <c r="D86" s="2" t="inlineStr">
        <is>
          <t>Triangles</t>
        </is>
      </c>
      <c r="E86" s="2" t="inlineStr">
        <is>
          <t>REQ_MATH_2026_024, REQ_MATH_2026_025, REQ_MATH_2026_026</t>
        </is>
      </c>
      <c r="F86" s="2" t="inlineStr">
        <is>
          <t>LO_M6.1.1 — State and apply Basic Proportionality Theorem (Thales Theorem) and criteria for similarity (AAA, SAS, SSS).</t>
        </is>
      </c>
      <c r="G86" s="2" t="inlineStr">
        <is>
          <t>Similarity of Triangles and Basic Proportionality Theorem</t>
        </is>
      </c>
      <c r="H86" s="2" t="inlineStr">
        <is>
          <t>Triangle ABC is similar to triangle PQR with AB = 6 cm and PQ = 9 cm. If the perimeter of triangle ABC is 24 cm, find the perimeter of triangle PQR.</t>
        </is>
      </c>
      <c r="I86" s="2" t="inlineStr">
        <is>
          <t>(constructed response)</t>
        </is>
      </c>
      <c r="J86" s="2" t="inlineStr">
        <is>
          <t>36 cm</t>
        </is>
      </c>
      <c r="K86" s="2" t="inlineStr">
        <is>
          <t>Perimeters of similar triangles are in the ratio of corresponding sides, 6 : 9 = 2 : 3, so the perimeter is 24 x 3/2 = 36 cm.</t>
        </is>
      </c>
      <c r="L86" s="2" t="n">
        <v>3</v>
      </c>
      <c r="M86" s="2" t="inlineStr">
        <is>
          <t>Maths_SecP1X_2026-27.pdf Page 4</t>
        </is>
      </c>
      <c r="N86" s="2" t="inlineStr">
        <is>
          <t>draft / unverified / REVIEW_PENDING</t>
        </is>
      </c>
      <c r="O86" s="3" t="inlineStr"/>
      <c r="P86" s="3" t="inlineStr"/>
      <c r="Q86" s="3" t="inlineStr"/>
      <c r="R86" s="3" t="inlineStr"/>
      <c r="S86" s="3" t="inlineStr"/>
      <c r="T86" s="3" t="inlineStr"/>
      <c r="U86" s="3" t="inlineStr"/>
    </row>
    <row r="87" ht="46" customHeight="1">
      <c r="A87" s="2" t="inlineStr">
        <is>
          <t>C10-2627-MATH-REQ024-DIAG-007</t>
        </is>
      </c>
      <c r="B87" s="2" t="inlineStr">
        <is>
          <t>Mathematics</t>
        </is>
      </c>
      <c r="C87" s="2" t="inlineStr">
        <is>
          <t>Geometry</t>
        </is>
      </c>
      <c r="D87" s="2" t="inlineStr">
        <is>
          <t>Triangles</t>
        </is>
      </c>
      <c r="E87" s="2" t="inlineStr">
        <is>
          <t>REQ_MATH_2026_024, REQ_MATH_2026_025, REQ_MATH_2026_026</t>
        </is>
      </c>
      <c r="F87" s="2" t="inlineStr">
        <is>
          <t>LO_M6.1.1 — State and apply Basic Proportionality Theorem (Thales Theorem) and criteria for similarity (AAA, SAS, SSS).</t>
        </is>
      </c>
      <c r="G87" s="2" t="inlineStr">
        <is>
          <t>Similarity of Triangles and Basic Proportionality Theorem</t>
        </is>
      </c>
      <c r="H87" s="2" t="inlineStr">
        <is>
          <t>State whether the following is true or false, and justify in one line: All squares are similar to one another.</t>
        </is>
      </c>
      <c r="I87" s="2" t="inlineStr">
        <is>
          <t>A. True
B. False</t>
        </is>
      </c>
      <c r="J87" s="2" t="inlineStr">
        <is>
          <t>True</t>
        </is>
      </c>
      <c r="K87" s="2" t="inlineStr">
        <is>
          <t>Every square has four right angles and all its sides equal, so corresponding angles are equal and corresponding sides are proportional.</t>
        </is>
      </c>
      <c r="L87" s="2" t="n">
        <v>1</v>
      </c>
      <c r="M87" s="2" t="inlineStr">
        <is>
          <t>Maths_SecP1X_2026-27.pdf Page 4</t>
        </is>
      </c>
      <c r="N87" s="2" t="inlineStr">
        <is>
          <t>draft / unverified / REVIEW_PENDING</t>
        </is>
      </c>
      <c r="O87" s="3" t="inlineStr"/>
      <c r="P87" s="3" t="inlineStr"/>
      <c r="Q87" s="3" t="inlineStr"/>
      <c r="R87" s="3" t="inlineStr"/>
      <c r="S87" s="3" t="inlineStr"/>
      <c r="T87" s="3" t="inlineStr"/>
      <c r="U87" s="3" t="inlineStr"/>
    </row>
    <row r="88" ht="46" customHeight="1">
      <c r="A88" s="2" t="inlineStr">
        <is>
          <t>C10-2627-MATH-REQ024-REASS-001</t>
        </is>
      </c>
      <c r="B88" s="2" t="inlineStr">
        <is>
          <t>Mathematics</t>
        </is>
      </c>
      <c r="C88" s="2" t="inlineStr">
        <is>
          <t>Geometry</t>
        </is>
      </c>
      <c r="D88" s="2" t="inlineStr">
        <is>
          <t>Triangles</t>
        </is>
      </c>
      <c r="E88" s="2" t="inlineStr">
        <is>
          <t>REQ_MATH_2026_024, REQ_MATH_2026_025, REQ_MATH_2026_026</t>
        </is>
      </c>
      <c r="F88" s="2" t="inlineStr">
        <is>
          <t>LO_M6.1.1 — State and apply Basic Proportionality Theorem (Thales Theorem) and criteria for similarity (AAA, SAS, SSS).</t>
        </is>
      </c>
      <c r="G88" s="2" t="inlineStr">
        <is>
          <t>Similarity of Triangles and Basic Proportionality Theorem</t>
        </is>
      </c>
      <c r="H88" s="2" t="inlineStr">
        <is>
          <t>In triangle ABC, DE is parallel to BC with D on AB and E on AC. If AD : DB = 2 : 3 and AE = 6 cm, find EC.</t>
        </is>
      </c>
      <c r="I88" s="2" t="inlineStr">
        <is>
          <t>(constructed response)</t>
        </is>
      </c>
      <c r="J88" s="2" t="inlineStr">
        <is>
          <t>9 cm</t>
        </is>
      </c>
      <c r="K88" s="2" t="inlineStr">
        <is>
          <t>By the Basic Proportionality Theorem AE/EC = AD/DB = 2/3, so EC = 6 x 3/2 = 9 cm.</t>
        </is>
      </c>
      <c r="L88" s="2" t="n">
        <v>3</v>
      </c>
      <c r="M88" s="2" t="inlineStr">
        <is>
          <t>Maths_SecP1X_2026-27.pdf Page 4</t>
        </is>
      </c>
      <c r="N88" s="2" t="inlineStr">
        <is>
          <t>draft / unverified / REVIEW_PENDING</t>
        </is>
      </c>
      <c r="O88" s="3" t="inlineStr"/>
      <c r="P88" s="3" t="inlineStr"/>
      <c r="Q88" s="3" t="inlineStr"/>
      <c r="R88" s="3" t="inlineStr"/>
      <c r="S88" s="3" t="inlineStr"/>
      <c r="T88" s="3" t="inlineStr"/>
      <c r="U88" s="3" t="inlineStr"/>
    </row>
    <row r="89" ht="46" customHeight="1">
      <c r="A89" s="2" t="inlineStr">
        <is>
          <t>C10-2627-MATH-REQ024-REASS-002</t>
        </is>
      </c>
      <c r="B89" s="2" t="inlineStr">
        <is>
          <t>Mathematics</t>
        </is>
      </c>
      <c r="C89" s="2" t="inlineStr">
        <is>
          <t>Geometry</t>
        </is>
      </c>
      <c r="D89" s="2" t="inlineStr">
        <is>
          <t>Triangles</t>
        </is>
      </c>
      <c r="E89" s="2" t="inlineStr">
        <is>
          <t>REQ_MATH_2026_024, REQ_MATH_2026_025, REQ_MATH_2026_026</t>
        </is>
      </c>
      <c r="F89" s="2" t="inlineStr">
        <is>
          <t>LO_M6.1.1 — State and apply Basic Proportionality Theorem (Thales Theorem) and criteria for similarity (AAA, SAS, SSS).</t>
        </is>
      </c>
      <c r="G89" s="2" t="inlineStr">
        <is>
          <t>Similarity of Triangles and Basic Proportionality Theorem</t>
        </is>
      </c>
      <c r="H89" s="2" t="inlineStr">
        <is>
          <t>The areas of two similar triangles are in the ratio 16 : 81. The ratio of their corresponding sides is</t>
        </is>
      </c>
      <c r="I89" s="2" t="inlineStr">
        <is>
          <t>A. 8 : 27
B. 2 : 3
C. 4 : 9
D. 16 : 81</t>
        </is>
      </c>
      <c r="J89" s="2" t="inlineStr">
        <is>
          <t>4 : 9</t>
        </is>
      </c>
      <c r="K89" s="2" t="inlineStr">
        <is>
          <t>Side ratio is the square root of the area ratio, so it is root 16 : root 81 = 4 : 9.</t>
        </is>
      </c>
      <c r="L89" s="2" t="n">
        <v>3</v>
      </c>
      <c r="M89" s="2" t="inlineStr">
        <is>
          <t>Maths_SecP1X_2026-27.pdf Page 4</t>
        </is>
      </c>
      <c r="N89" s="2" t="inlineStr">
        <is>
          <t>draft / unverified / REVIEW_PENDING</t>
        </is>
      </c>
      <c r="O89" s="3" t="inlineStr"/>
      <c r="P89" s="3" t="inlineStr"/>
      <c r="Q89" s="3" t="inlineStr"/>
      <c r="R89" s="3" t="inlineStr"/>
      <c r="S89" s="3" t="inlineStr"/>
      <c r="T89" s="3" t="inlineStr"/>
      <c r="U89" s="3" t="inlineStr"/>
    </row>
    <row r="90" ht="46" customHeight="1">
      <c r="A90" s="2" t="inlineStr">
        <is>
          <t>C10-2627-MATH-REQ024-REASS-003</t>
        </is>
      </c>
      <c r="B90" s="2" t="inlineStr">
        <is>
          <t>Mathematics</t>
        </is>
      </c>
      <c r="C90" s="2" t="inlineStr">
        <is>
          <t>Geometry</t>
        </is>
      </c>
      <c r="D90" s="2" t="inlineStr">
        <is>
          <t>Triangles</t>
        </is>
      </c>
      <c r="E90" s="2" t="inlineStr">
        <is>
          <t>REQ_MATH_2026_024, REQ_MATH_2026_025, REQ_MATH_2026_026</t>
        </is>
      </c>
      <c r="F90" s="2" t="inlineStr">
        <is>
          <t>LO_M6.1.1 — State and apply Basic Proportionality Theorem (Thales Theorem) and criteria for similarity (AAA, SAS, SSS).</t>
        </is>
      </c>
      <c r="G90" s="2" t="inlineStr">
        <is>
          <t>Similarity of Triangles and Basic Proportionality Theorem</t>
        </is>
      </c>
      <c r="H90" s="2" t="inlineStr">
        <is>
          <t>In triangle ABC, D is on AB with AD = 4 cm and DB = 6 cm, and E is on AC with AE = 6 cm and EC = 9 cm. Is DE parallel to BC? Justify.</t>
        </is>
      </c>
      <c r="I90" s="2" t="inlineStr">
        <is>
          <t>(constructed response)</t>
        </is>
      </c>
      <c r="J90" s="2" t="inlineStr">
        <is>
          <t>Yes, because AD/DB = AE/EC = 2/3.</t>
        </is>
      </c>
      <c r="K90" s="2" t="inlineStr">
        <is>
          <t>Both ratios equal 2/3, so by the converse of the Basic Proportionality Theorem DE is parallel to BC.</t>
        </is>
      </c>
      <c r="L90" s="2" t="n">
        <v>3</v>
      </c>
      <c r="M90" s="2" t="inlineStr">
        <is>
          <t>Maths_SecP1X_2026-27.pdf Page 4</t>
        </is>
      </c>
      <c r="N90" s="2" t="inlineStr">
        <is>
          <t>draft / unverified / REVIEW_PENDING</t>
        </is>
      </c>
      <c r="O90" s="3" t="inlineStr"/>
      <c r="P90" s="3" t="inlineStr"/>
      <c r="Q90" s="3" t="inlineStr"/>
      <c r="R90" s="3" t="inlineStr"/>
      <c r="S90" s="3" t="inlineStr"/>
      <c r="T90" s="3" t="inlineStr"/>
      <c r="U90" s="3" t="inlineStr"/>
    </row>
    <row r="91" ht="46" customHeight="1">
      <c r="A91" s="2" t="inlineStr">
        <is>
          <t>C10-2627-MATH-REQ024-REASS-004</t>
        </is>
      </c>
      <c r="B91" s="2" t="inlineStr">
        <is>
          <t>Mathematics</t>
        </is>
      </c>
      <c r="C91" s="2" t="inlineStr">
        <is>
          <t>Geometry</t>
        </is>
      </c>
      <c r="D91" s="2" t="inlineStr">
        <is>
          <t>Triangles</t>
        </is>
      </c>
      <c r="E91" s="2" t="inlineStr">
        <is>
          <t>REQ_MATH_2026_024, REQ_MATH_2026_025, REQ_MATH_2026_026</t>
        </is>
      </c>
      <c r="F91" s="2" t="inlineStr">
        <is>
          <t>LO_M6.1.1 — State and apply Basic Proportionality Theorem (Thales Theorem) and criteria for similarity (AAA, SAS, SSS).</t>
        </is>
      </c>
      <c r="G91" s="2" t="inlineStr">
        <is>
          <t>Similarity of Triangles and Basic Proportionality Theorem</t>
        </is>
      </c>
      <c r="H91" s="2" t="inlineStr">
        <is>
          <t>A surveyor places a small mirror flat on level ground 2 m from her feet and steps back until she sees the top of a water tower in the mirror. Her eyes are 1.6 m above the ground and the mirror is 10 m from the base of the tower. Light reflects so that the two right triangles formed are similar.
Find the height of the water tower.</t>
        </is>
      </c>
      <c r="I91" s="2" t="inlineStr">
        <is>
          <t>(constructed response)</t>
        </is>
      </c>
      <c r="J91" s="2" t="inlineStr">
        <is>
          <t>8 m</t>
        </is>
      </c>
      <c r="K91" s="2" t="inlineStr">
        <is>
          <t>The triangles are similar, so h/10 = 1.6/2, giving h = 8 m.</t>
        </is>
      </c>
      <c r="L91" s="2" t="n">
        <v>4</v>
      </c>
      <c r="M91" s="2" t="inlineStr">
        <is>
          <t>Maths_SecP1X_2026-27.pdf Page 4</t>
        </is>
      </c>
      <c r="N91" s="2" t="inlineStr">
        <is>
          <t>draft / unverified / REVIEW_PENDING</t>
        </is>
      </c>
      <c r="O91" s="3" t="inlineStr"/>
      <c r="P91" s="3" t="inlineStr"/>
      <c r="Q91" s="3" t="inlineStr"/>
      <c r="R91" s="3" t="inlineStr"/>
      <c r="S91" s="3" t="inlineStr"/>
      <c r="T91" s="3" t="inlineStr"/>
      <c r="U91" s="3" t="inlineStr"/>
    </row>
    <row r="92" ht="46" customHeight="1">
      <c r="A92" s="2" t="inlineStr">
        <is>
          <t>C10-2627-MATH-REQ024-REASS-005</t>
        </is>
      </c>
      <c r="B92" s="2" t="inlineStr">
        <is>
          <t>Mathematics</t>
        </is>
      </c>
      <c r="C92" s="2" t="inlineStr">
        <is>
          <t>Geometry</t>
        </is>
      </c>
      <c r="D92" s="2" t="inlineStr">
        <is>
          <t>Triangles</t>
        </is>
      </c>
      <c r="E92" s="2" t="inlineStr">
        <is>
          <t>REQ_MATH_2026_024, REQ_MATH_2026_025, REQ_MATH_2026_026</t>
        </is>
      </c>
      <c r="F92" s="2" t="inlineStr">
        <is>
          <t>LO_M6.1.1 — State and apply Basic Proportionality Theorem (Thales Theorem) and criteria for similarity (AAA, SAS, SSS).</t>
        </is>
      </c>
      <c r="G92" s="2" t="inlineStr">
        <is>
          <t>Similarity of Triangles and Basic Proportionality Theorem</t>
        </is>
      </c>
      <c r="H92" s="2" t="inlineStr">
        <is>
          <t>Assertion (A): Any two isosceles triangles are similar.
Reason (R): Similar figures must have all pairs of corresponding angles equal.
Choose the correct option.</t>
        </is>
      </c>
      <c r="I92" s="2" t="inlineStr">
        <is>
          <t>A. Both A and R are true and R is the correct explanation of A.
B. Both A and R are true but R is not the correct explanation of A.
C. A is true but R is false.
D. A is false but R is true.</t>
        </is>
      </c>
      <c r="J92" s="2" t="inlineStr">
        <is>
          <t>A is false but R is true.</t>
        </is>
      </c>
      <c r="K92" s="2" t="inlineStr">
        <is>
          <t>One isosceles triangle may have apex angle 40 degrees and another 100 degrees, so A is false, while R states the correct definition.</t>
        </is>
      </c>
      <c r="L92" s="2" t="n">
        <v>2</v>
      </c>
      <c r="M92" s="2" t="inlineStr">
        <is>
          <t>Maths_SecP1X_2026-27.pdf Page 4</t>
        </is>
      </c>
      <c r="N92" s="2" t="inlineStr">
        <is>
          <t>draft / unverified / REVIEW_PENDING</t>
        </is>
      </c>
      <c r="O92" s="3" t="inlineStr"/>
      <c r="P92" s="3" t="inlineStr"/>
      <c r="Q92" s="3" t="inlineStr"/>
      <c r="R92" s="3" t="inlineStr"/>
      <c r="S92" s="3" t="inlineStr"/>
      <c r="T92" s="3" t="inlineStr"/>
      <c r="U92" s="3" t="inlineStr"/>
    </row>
    <row r="93" ht="46" customHeight="1">
      <c r="A93" s="2" t="inlineStr">
        <is>
          <t>C10-2627-MATH-REQ024-REASS-006</t>
        </is>
      </c>
      <c r="B93" s="2" t="inlineStr">
        <is>
          <t>Mathematics</t>
        </is>
      </c>
      <c r="C93" s="2" t="inlineStr">
        <is>
          <t>Geometry</t>
        </is>
      </c>
      <c r="D93" s="2" t="inlineStr">
        <is>
          <t>Triangles</t>
        </is>
      </c>
      <c r="E93" s="2" t="inlineStr">
        <is>
          <t>REQ_MATH_2026_024, REQ_MATH_2026_025, REQ_MATH_2026_026</t>
        </is>
      </c>
      <c r="F93" s="2" t="inlineStr">
        <is>
          <t>LO_M6.1.1 — State and apply Basic Proportionality Theorem (Thales Theorem) and criteria for similarity (AAA, SAS, SSS).</t>
        </is>
      </c>
      <c r="G93" s="2" t="inlineStr">
        <is>
          <t>Similarity of Triangles and Basic Proportionality Theorem</t>
        </is>
      </c>
      <c r="H93" s="2" t="inlineStr">
        <is>
          <t>Triangle ABC is similar to triangle DEF and the ratio of their areas is 25 : 49. If BC = 10 cm, find EF.</t>
        </is>
      </c>
      <c r="I93" s="2" t="inlineStr">
        <is>
          <t>(constructed response)</t>
        </is>
      </c>
      <c r="J93" s="2" t="inlineStr">
        <is>
          <t>14 cm</t>
        </is>
      </c>
      <c r="K93" s="2" t="inlineStr">
        <is>
          <t>The side ratio is root 25 : root 49 = 5 : 7, so EF = 10 x 7/5 = 14 cm.</t>
        </is>
      </c>
      <c r="L93" s="2" t="n">
        <v>3</v>
      </c>
      <c r="M93" s="2" t="inlineStr">
        <is>
          <t>Maths_SecP1X_2026-27.pdf Page 4</t>
        </is>
      </c>
      <c r="N93" s="2" t="inlineStr">
        <is>
          <t>draft / unverified / REVIEW_PENDING</t>
        </is>
      </c>
      <c r="O93" s="3" t="inlineStr"/>
      <c r="P93" s="3" t="inlineStr"/>
      <c r="Q93" s="3" t="inlineStr"/>
      <c r="R93" s="3" t="inlineStr"/>
      <c r="S93" s="3" t="inlineStr"/>
      <c r="T93" s="3" t="inlineStr"/>
      <c r="U93" s="3" t="inlineStr"/>
    </row>
    <row r="94" ht="46" customHeight="1">
      <c r="A94" s="2" t="inlineStr">
        <is>
          <t>C10-2627-MATH-REQ024-REASS-007</t>
        </is>
      </c>
      <c r="B94" s="2" t="inlineStr">
        <is>
          <t>Mathematics</t>
        </is>
      </c>
      <c r="C94" s="2" t="inlineStr">
        <is>
          <t>Geometry</t>
        </is>
      </c>
      <c r="D94" s="2" t="inlineStr">
        <is>
          <t>Triangles</t>
        </is>
      </c>
      <c r="E94" s="2" t="inlineStr">
        <is>
          <t>REQ_MATH_2026_024, REQ_MATH_2026_025, REQ_MATH_2026_026</t>
        </is>
      </c>
      <c r="F94" s="2" t="inlineStr">
        <is>
          <t>LO_M6.1.1 — State and apply Basic Proportionality Theorem (Thales Theorem) and criteria for similarity (AAA, SAS, SSS).</t>
        </is>
      </c>
      <c r="G94" s="2" t="inlineStr">
        <is>
          <t>Similarity of Triangles and Basic Proportionality Theorem</t>
        </is>
      </c>
      <c r="H94" s="2" t="inlineStr">
        <is>
          <t>State whether the following is true or false, and justify in one line: Two triangles with equal areas are always congruent.</t>
        </is>
      </c>
      <c r="I94" s="2" t="inlineStr">
        <is>
          <t>A. True
B. False</t>
        </is>
      </c>
      <c r="J94" s="2" t="inlineStr">
        <is>
          <t>False</t>
        </is>
      </c>
      <c r="K94" s="2" t="inlineStr">
        <is>
          <t>A triangle with base 4 and height 6 and another with base 12 and height 2 both have area 12 but are not congruent.</t>
        </is>
      </c>
      <c r="L94" s="2" t="n">
        <v>2</v>
      </c>
      <c r="M94" s="2" t="inlineStr">
        <is>
          <t>Maths_SecP1X_2026-27.pdf Page 4</t>
        </is>
      </c>
      <c r="N94" s="2" t="inlineStr">
        <is>
          <t>draft / unverified / REVIEW_PENDING</t>
        </is>
      </c>
      <c r="O94" s="3" t="inlineStr"/>
      <c r="P94" s="3" t="inlineStr"/>
      <c r="Q94" s="3" t="inlineStr"/>
      <c r="R94" s="3" t="inlineStr"/>
      <c r="S94" s="3" t="inlineStr"/>
      <c r="T94" s="3" t="inlineStr"/>
      <c r="U94" s="3" t="inlineStr"/>
    </row>
    <row r="95" ht="46" customHeight="1">
      <c r="A95" s="2" t="inlineStr">
        <is>
          <t>C10-2627-MATH-REQ024-REASS-008</t>
        </is>
      </c>
      <c r="B95" s="2" t="inlineStr">
        <is>
          <t>Mathematics</t>
        </is>
      </c>
      <c r="C95" s="2" t="inlineStr">
        <is>
          <t>Geometry</t>
        </is>
      </c>
      <c r="D95" s="2" t="inlineStr">
        <is>
          <t>Triangles</t>
        </is>
      </c>
      <c r="E95" s="2" t="inlineStr">
        <is>
          <t>REQ_MATH_2026_024, REQ_MATH_2026_025, REQ_MATH_2026_026</t>
        </is>
      </c>
      <c r="F95" s="2" t="inlineStr">
        <is>
          <t>LO_M6.1.1 — State and apply Basic Proportionality Theorem (Thales Theorem) and criteria for similarity (AAA, SAS, SSS).</t>
        </is>
      </c>
      <c r="G95" s="2" t="inlineStr">
        <is>
          <t>Similarity of Triangles and Basic Proportionality Theorem</t>
        </is>
      </c>
      <c r="H95" s="2" t="inlineStr">
        <is>
          <t>In a right triangle the legs measure 6 cm and 8 cm. Using similarity of the triangles formed by the altitude to the hypotenuse, find the length of that altitude.</t>
        </is>
      </c>
      <c r="I95" s="2" t="inlineStr">
        <is>
          <t>(constructed response)</t>
        </is>
      </c>
      <c r="J95" s="2" t="inlineStr">
        <is>
          <t>4.8 cm</t>
        </is>
      </c>
      <c r="K95" s="2" t="inlineStr">
        <is>
          <t>The hypotenuse is 10 cm. Comparing areas, (1/2) x 6 x 8 = (1/2) x 10 x h, so h = 48/10 = 4.8 cm, and the similar sub-triangles justify the relation.</t>
        </is>
      </c>
      <c r="L95" s="2" t="n">
        <v>4</v>
      </c>
      <c r="M95" s="2" t="inlineStr">
        <is>
          <t>Maths_SecP1X_2026-27.pdf Page 4</t>
        </is>
      </c>
      <c r="N95" s="2" t="inlineStr">
        <is>
          <t>draft / unverified / REVIEW_PENDING</t>
        </is>
      </c>
      <c r="O95" s="3" t="inlineStr"/>
      <c r="P95" s="3" t="inlineStr"/>
      <c r="Q95" s="3" t="inlineStr"/>
      <c r="R95" s="3" t="inlineStr"/>
      <c r="S95" s="3" t="inlineStr"/>
      <c r="T95" s="3" t="inlineStr"/>
      <c r="U95" s="3" t="inlineStr"/>
    </row>
    <row r="96" ht="46" customHeight="1">
      <c r="A96" s="2" t="inlineStr">
        <is>
          <t>C10-2627-MATH-REQ024-REASS-009</t>
        </is>
      </c>
      <c r="B96" s="2" t="inlineStr">
        <is>
          <t>Mathematics</t>
        </is>
      </c>
      <c r="C96" s="2" t="inlineStr">
        <is>
          <t>Geometry</t>
        </is>
      </c>
      <c r="D96" s="2" t="inlineStr">
        <is>
          <t>Triangles</t>
        </is>
      </c>
      <c r="E96" s="2" t="inlineStr">
        <is>
          <t>REQ_MATH_2026_024, REQ_MATH_2026_025, REQ_MATH_2026_026</t>
        </is>
      </c>
      <c r="F96" s="2" t="inlineStr">
        <is>
          <t>LO_M6.1.1 — State and apply Basic Proportionality Theorem (Thales Theorem) and criteria for similarity (AAA, SAS, SSS).</t>
        </is>
      </c>
      <c r="G96" s="2" t="inlineStr">
        <is>
          <t>Similarity of Triangles and Basic Proportionality Theorem</t>
        </is>
      </c>
      <c r="H96" s="2" t="inlineStr">
        <is>
          <t>In triangles ABC and DEF, AB/DE = BC/EF and angle B equals angle E. The triangles are similar by</t>
        </is>
      </c>
      <c r="I96" s="2" t="inlineStr">
        <is>
          <t>A. the AA similarity criterion
B. the SSS similarity criterion
C. the RHS congruence criterion
D. the SAS similarity criterion</t>
        </is>
      </c>
      <c r="J96" s="2" t="inlineStr">
        <is>
          <t>the SAS similarity criterion</t>
        </is>
      </c>
      <c r="K96" s="2" t="inlineStr">
        <is>
          <t>Two pairs of sides are proportional and the included angles are equal, which is exactly SAS similarity.</t>
        </is>
      </c>
      <c r="L96" s="2" t="n">
        <v>2</v>
      </c>
      <c r="M96" s="2" t="inlineStr">
        <is>
          <t>Maths_SecP1X_2026-27.pdf Page 4</t>
        </is>
      </c>
      <c r="N96" s="2" t="inlineStr">
        <is>
          <t>draft / unverified / REVIEW_PENDING</t>
        </is>
      </c>
      <c r="O96" s="3" t="inlineStr"/>
      <c r="P96" s="3" t="inlineStr"/>
      <c r="Q96" s="3" t="inlineStr"/>
      <c r="R96" s="3" t="inlineStr"/>
      <c r="S96" s="3" t="inlineStr"/>
      <c r="T96" s="3" t="inlineStr"/>
      <c r="U96" s="3" t="inlineStr"/>
    </row>
    <row r="97" ht="46" customHeight="1">
      <c r="A97" s="2" t="inlineStr">
        <is>
          <t>C10-2627-MATH-REQ024-REASS-010</t>
        </is>
      </c>
      <c r="B97" s="2" t="inlineStr">
        <is>
          <t>Mathematics</t>
        </is>
      </c>
      <c r="C97" s="2" t="inlineStr">
        <is>
          <t>Geometry</t>
        </is>
      </c>
      <c r="D97" s="2" t="inlineStr">
        <is>
          <t>Triangles</t>
        </is>
      </c>
      <c r="E97" s="2" t="inlineStr">
        <is>
          <t>REQ_MATH_2026_024, REQ_MATH_2026_025, REQ_MATH_2026_026</t>
        </is>
      </c>
      <c r="F97" s="2" t="inlineStr">
        <is>
          <t>LO_M6.1.1 — State and apply Basic Proportionality Theorem (Thales Theorem) and criteria for similarity (AAA, SAS, SSS).</t>
        </is>
      </c>
      <c r="G97" s="2" t="inlineStr">
        <is>
          <t>Similarity of Triangles and Basic Proportionality Theorem</t>
        </is>
      </c>
      <c r="H97" s="2" t="inlineStr">
        <is>
          <t>Two triangles have the following measurements:
| Triangle | Sides (cm) |
| ABC | 4, 6, 8 |
| PQR | 6, 9, 12 |
Are the triangles similar? If so, state the ratio of their areas.</t>
        </is>
      </c>
      <c r="I97" s="2" t="inlineStr">
        <is>
          <t>(constructed response)</t>
        </is>
      </c>
      <c r="J97" s="2" t="inlineStr">
        <is>
          <t>Yes, by SSS similarity; the ratio of areas is 4 : 9.</t>
        </is>
      </c>
      <c r="K97" s="2" t="inlineStr">
        <is>
          <t>Each pair of corresponding sides is in the ratio 2 : 3, so the triangles are similar and the areas are in the ratio 2^2 : 3^2 = 4 : 9.</t>
        </is>
      </c>
      <c r="L97" s="2" t="n">
        <v>3</v>
      </c>
      <c r="M97" s="2" t="inlineStr">
        <is>
          <t>Maths_SecP1X_2026-27.pdf Page 4</t>
        </is>
      </c>
      <c r="N97" s="2" t="inlineStr">
        <is>
          <t>draft / unverified / REVIEW_PENDING</t>
        </is>
      </c>
      <c r="O97" s="3" t="inlineStr"/>
      <c r="P97" s="3" t="inlineStr"/>
      <c r="Q97" s="3" t="inlineStr"/>
      <c r="R97" s="3" t="inlineStr"/>
      <c r="S97" s="3" t="inlineStr"/>
      <c r="T97" s="3" t="inlineStr"/>
      <c r="U97" s="3" t="inlineStr"/>
    </row>
    <row r="98" ht="46" customHeight="1">
      <c r="A98" s="2" t="inlineStr">
        <is>
          <t>C10-2627-MATH-REQ022-DIAG-001</t>
        </is>
      </c>
      <c r="B98" s="2" t="inlineStr">
        <is>
          <t>Mathematics</t>
        </is>
      </c>
      <c r="C98" s="2" t="inlineStr">
        <is>
          <t>Coordinate Geometry</t>
        </is>
      </c>
      <c r="D98" s="2" t="inlineStr">
        <is>
          <t>Coordinate Geometry</t>
        </is>
      </c>
      <c r="E98" s="2" t="inlineStr">
        <is>
          <t>REQ_MATH_2026_022, REQ_MATH_2026_023</t>
        </is>
      </c>
      <c r="F98" s="2" t="inlineStr">
        <is>
          <t>LO_M7.1.1 — Derive and apply Distance Formula and Section Formula in Cartesian coordinate space.</t>
        </is>
      </c>
      <c r="G98" s="2" t="inlineStr">
        <is>
          <t>Distance and Section Formulas</t>
        </is>
      </c>
      <c r="H98" s="2" t="inlineStr">
        <is>
          <t>Find the distance between the points A(3, 4) and B(-1, 1).</t>
        </is>
      </c>
      <c r="I98" s="2" t="inlineStr">
        <is>
          <t>(constructed response)</t>
        </is>
      </c>
      <c r="J98" s="2" t="inlineStr">
        <is>
          <t>5 units</t>
        </is>
      </c>
      <c r="K98" s="2" t="inlineStr">
        <is>
          <t>The distance is root((3 - (-1))^2 + (4 - 1)^2) = root(16 + 9) = 5 units.</t>
        </is>
      </c>
      <c r="L98" s="2" t="n">
        <v>2</v>
      </c>
      <c r="M98" s="2" t="inlineStr">
        <is>
          <t>Maths_SecP1X_2026-27.pdf Page 3</t>
        </is>
      </c>
      <c r="N98" s="2" t="inlineStr">
        <is>
          <t>draft / unverified / REVIEW_PENDING</t>
        </is>
      </c>
      <c r="O98" s="3" t="inlineStr"/>
      <c r="P98" s="3" t="inlineStr"/>
      <c r="Q98" s="3" t="inlineStr"/>
      <c r="R98" s="3" t="inlineStr"/>
      <c r="S98" s="3" t="inlineStr"/>
      <c r="T98" s="3" t="inlineStr"/>
      <c r="U98" s="3" t="inlineStr"/>
    </row>
    <row r="99" ht="46" customHeight="1">
      <c r="A99" s="2" t="inlineStr">
        <is>
          <t>C10-2627-MATH-REQ022-DIAG-002</t>
        </is>
      </c>
      <c r="B99" s="2" t="inlineStr">
        <is>
          <t>Mathematics</t>
        </is>
      </c>
      <c r="C99" s="2" t="inlineStr">
        <is>
          <t>Coordinate Geometry</t>
        </is>
      </c>
      <c r="D99" s="2" t="inlineStr">
        <is>
          <t>Coordinate Geometry</t>
        </is>
      </c>
      <c r="E99" s="2" t="inlineStr">
        <is>
          <t>REQ_MATH_2026_022, REQ_MATH_2026_023</t>
        </is>
      </c>
      <c r="F99" s="2" t="inlineStr">
        <is>
          <t>LO_M7.1.1 — Derive and apply Distance Formula and Section Formula in Cartesian coordinate space.</t>
        </is>
      </c>
      <c r="G99" s="2" t="inlineStr">
        <is>
          <t>Distance and Section Formulas</t>
        </is>
      </c>
      <c r="H99" s="2" t="inlineStr">
        <is>
          <t>Find the distance of the point P(7, 24) from the origin.</t>
        </is>
      </c>
      <c r="I99" s="2" t="inlineStr">
        <is>
          <t>(constructed response)</t>
        </is>
      </c>
      <c r="J99" s="2" t="inlineStr">
        <is>
          <t>25 units</t>
        </is>
      </c>
      <c r="K99" s="2" t="inlineStr">
        <is>
          <t>The distance from the origin is root(7^2 + 24^2) = root 625 = 25 units.</t>
        </is>
      </c>
      <c r="L99" s="2" t="n">
        <v>2</v>
      </c>
      <c r="M99" s="2" t="inlineStr">
        <is>
          <t>Maths_SecP1X_2026-27.pdf Page 3</t>
        </is>
      </c>
      <c r="N99" s="2" t="inlineStr">
        <is>
          <t>draft / unverified / REVIEW_PENDING</t>
        </is>
      </c>
      <c r="O99" s="3" t="inlineStr"/>
      <c r="P99" s="3" t="inlineStr"/>
      <c r="Q99" s="3" t="inlineStr"/>
      <c r="R99" s="3" t="inlineStr"/>
      <c r="S99" s="3" t="inlineStr"/>
      <c r="T99" s="3" t="inlineStr"/>
      <c r="U99" s="3" t="inlineStr"/>
    </row>
    <row r="100" ht="46" customHeight="1">
      <c r="A100" s="2" t="inlineStr">
        <is>
          <t>C10-2627-MATH-REQ022-DIAG-003</t>
        </is>
      </c>
      <c r="B100" s="2" t="inlineStr">
        <is>
          <t>Mathematics</t>
        </is>
      </c>
      <c r="C100" s="2" t="inlineStr">
        <is>
          <t>Coordinate Geometry</t>
        </is>
      </c>
      <c r="D100" s="2" t="inlineStr">
        <is>
          <t>Coordinate Geometry</t>
        </is>
      </c>
      <c r="E100" s="2" t="inlineStr">
        <is>
          <t>REQ_MATH_2026_022, REQ_MATH_2026_023</t>
        </is>
      </c>
      <c r="F100" s="2" t="inlineStr">
        <is>
          <t>LO_M7.1.1 — Derive and apply Distance Formula and Section Formula in Cartesian coordinate space.</t>
        </is>
      </c>
      <c r="G100" s="2" t="inlineStr">
        <is>
          <t>Distance and Section Formulas</t>
        </is>
      </c>
      <c r="H100" s="2" t="inlineStr">
        <is>
          <t>Find the point on the x-axis that is equidistant from A(2, -5) and B(-2, 9).</t>
        </is>
      </c>
      <c r="I100" s="2" t="inlineStr">
        <is>
          <t>(constructed response)</t>
        </is>
      </c>
      <c r="J100" s="2" t="inlineStr">
        <is>
          <t>(-7, 0)</t>
        </is>
      </c>
      <c r="K100" s="2" t="inlineStr">
        <is>
          <t>Let the point be (x, 0). Then (x - 2)^2 + 25 = (x + 2)^2 + 81, so -8x = 56 and x = -7.</t>
        </is>
      </c>
      <c r="L100" s="2" t="n">
        <v>4</v>
      </c>
      <c r="M100" s="2" t="inlineStr">
        <is>
          <t>Maths_SecP1X_2026-27.pdf Page 3</t>
        </is>
      </c>
      <c r="N100" s="2" t="inlineStr">
        <is>
          <t>draft / unverified / REVIEW_PENDING</t>
        </is>
      </c>
      <c r="O100" s="3" t="inlineStr"/>
      <c r="P100" s="3" t="inlineStr"/>
      <c r="Q100" s="3" t="inlineStr"/>
      <c r="R100" s="3" t="inlineStr"/>
      <c r="S100" s="3" t="inlineStr"/>
      <c r="T100" s="3" t="inlineStr"/>
      <c r="U100" s="3" t="inlineStr"/>
    </row>
    <row r="101" ht="46" customHeight="1">
      <c r="A101" s="2" t="inlineStr">
        <is>
          <t>C10-2627-MATH-REQ022-DIAG-004</t>
        </is>
      </c>
      <c r="B101" s="2" t="inlineStr">
        <is>
          <t>Mathematics</t>
        </is>
      </c>
      <c r="C101" s="2" t="inlineStr">
        <is>
          <t>Coordinate Geometry</t>
        </is>
      </c>
      <c r="D101" s="2" t="inlineStr">
        <is>
          <t>Coordinate Geometry</t>
        </is>
      </c>
      <c r="E101" s="2" t="inlineStr">
        <is>
          <t>REQ_MATH_2026_022, REQ_MATH_2026_023</t>
        </is>
      </c>
      <c r="F101" s="2" t="inlineStr">
        <is>
          <t>LO_M7.1.1 — Derive and apply Distance Formula and Section Formula in Cartesian coordinate space.</t>
        </is>
      </c>
      <c r="G101" s="2" t="inlineStr">
        <is>
          <t>Distance and Section Formulas</t>
        </is>
      </c>
      <c r="H101" s="2" t="inlineStr">
        <is>
          <t>The midpoint of the line segment joining (-3, 7) and (5, -1) is</t>
        </is>
      </c>
      <c r="I101" s="2" t="inlineStr">
        <is>
          <t>A. (4, 3)
B. (1, 3)
C. (2, 6)
D. (-1, 4)</t>
        </is>
      </c>
      <c r="J101" s="2" t="inlineStr">
        <is>
          <t>(1, 3)</t>
        </is>
      </c>
      <c r="K101" s="2" t="inlineStr">
        <is>
          <t>The midpoint is ((-3 + 5)/2, (7 + (-1))/2) = (1, 3).</t>
        </is>
      </c>
      <c r="L101" s="2" t="n">
        <v>1</v>
      </c>
      <c r="M101" s="2" t="inlineStr">
        <is>
          <t>Maths_SecP1X_2026-27.pdf Page 3</t>
        </is>
      </c>
      <c r="N101" s="2" t="inlineStr">
        <is>
          <t>draft / unverified / REVIEW_PENDING</t>
        </is>
      </c>
      <c r="O101" s="3" t="inlineStr"/>
      <c r="P101" s="3" t="inlineStr"/>
      <c r="Q101" s="3" t="inlineStr"/>
      <c r="R101" s="3" t="inlineStr"/>
      <c r="S101" s="3" t="inlineStr"/>
      <c r="T101" s="3" t="inlineStr"/>
      <c r="U101" s="3" t="inlineStr"/>
    </row>
    <row r="102" ht="46" customHeight="1">
      <c r="A102" s="2" t="inlineStr">
        <is>
          <t>C10-2627-MATH-REQ022-DIAG-005</t>
        </is>
      </c>
      <c r="B102" s="2" t="inlineStr">
        <is>
          <t>Mathematics</t>
        </is>
      </c>
      <c r="C102" s="2" t="inlineStr">
        <is>
          <t>Coordinate Geometry</t>
        </is>
      </c>
      <c r="D102" s="2" t="inlineStr">
        <is>
          <t>Coordinate Geometry</t>
        </is>
      </c>
      <c r="E102" s="2" t="inlineStr">
        <is>
          <t>REQ_MATH_2026_022, REQ_MATH_2026_023</t>
        </is>
      </c>
      <c r="F102" s="2" t="inlineStr">
        <is>
          <t>LO_M7.1.1 — Derive and apply Distance Formula and Section Formula in Cartesian coordinate space.</t>
        </is>
      </c>
      <c r="G102" s="2" t="inlineStr">
        <is>
          <t>Distance and Section Formulas</t>
        </is>
      </c>
      <c r="H102" s="2" t="inlineStr">
        <is>
          <t>Find the coordinates of the point that divides the line segment joining (1, 2) and (6, 7) internally in the ratio 2 : 3.</t>
        </is>
      </c>
      <c r="I102" s="2" t="inlineStr">
        <is>
          <t>(constructed response)</t>
        </is>
      </c>
      <c r="J102" s="2" t="inlineStr">
        <is>
          <t>(3, 4)</t>
        </is>
      </c>
      <c r="K102" s="2" t="inlineStr">
        <is>
          <t>By the section formula the point is ((2 x 6 + 3 x 1)/5, (2 x 7 + 3 x 2)/5) = (15/5, 20/5) = (3, 4).</t>
        </is>
      </c>
      <c r="L102" s="2" t="n">
        <v>3</v>
      </c>
      <c r="M102" s="2" t="inlineStr">
        <is>
          <t>Maths_SecP1X_2026-27.pdf Page 3</t>
        </is>
      </c>
      <c r="N102" s="2" t="inlineStr">
        <is>
          <t>draft / unverified / REVIEW_PENDING</t>
        </is>
      </c>
      <c r="O102" s="3" t="inlineStr"/>
      <c r="P102" s="3" t="inlineStr"/>
      <c r="Q102" s="3" t="inlineStr"/>
      <c r="R102" s="3" t="inlineStr"/>
      <c r="S102" s="3" t="inlineStr"/>
      <c r="T102" s="3" t="inlineStr"/>
      <c r="U102" s="3" t="inlineStr"/>
    </row>
    <row r="103" ht="46" customHeight="1">
      <c r="A103" s="2" t="inlineStr">
        <is>
          <t>C10-2627-MATH-REQ022-DIAG-006</t>
        </is>
      </c>
      <c r="B103" s="2" t="inlineStr">
        <is>
          <t>Mathematics</t>
        </is>
      </c>
      <c r="C103" s="2" t="inlineStr">
        <is>
          <t>Coordinate Geometry</t>
        </is>
      </c>
      <c r="D103" s="2" t="inlineStr">
        <is>
          <t>Coordinate Geometry</t>
        </is>
      </c>
      <c r="E103" s="2" t="inlineStr">
        <is>
          <t>REQ_MATH_2026_022, REQ_MATH_2026_023</t>
        </is>
      </c>
      <c r="F103" s="2" t="inlineStr">
        <is>
          <t>LO_M7.1.1 — Derive and apply Distance Formula and Section Formula in Cartesian coordinate space.</t>
        </is>
      </c>
      <c r="G103" s="2" t="inlineStr">
        <is>
          <t>Distance and Section Formulas</t>
        </is>
      </c>
      <c r="H103" s="2" t="inlineStr">
        <is>
          <t>A rectangular park is mapped on a coordinate grid in which one unit represents 10 metres. The east gate is at E(2, 3) and the north gate is at N(8, 11).
Find the straight-line distance between the two gates in metres.</t>
        </is>
      </c>
      <c r="I103" s="2" t="inlineStr">
        <is>
          <t>(constructed response)</t>
        </is>
      </c>
      <c r="J103" s="2" t="inlineStr">
        <is>
          <t>100 metres</t>
        </is>
      </c>
      <c r="K103" s="2" t="inlineStr">
        <is>
          <t>The distance on the grid is root(36 + 64) = 10 units, and each unit is 10 m, so the gates are 100 m apart.</t>
        </is>
      </c>
      <c r="L103" s="2" t="n">
        <v>3</v>
      </c>
      <c r="M103" s="2" t="inlineStr">
        <is>
          <t>Maths_SecP1X_2026-27.pdf Page 3</t>
        </is>
      </c>
      <c r="N103" s="2" t="inlineStr">
        <is>
          <t>draft / unverified / REVIEW_PENDING</t>
        </is>
      </c>
      <c r="O103" s="3" t="inlineStr"/>
      <c r="P103" s="3" t="inlineStr"/>
      <c r="Q103" s="3" t="inlineStr"/>
      <c r="R103" s="3" t="inlineStr"/>
      <c r="S103" s="3" t="inlineStr"/>
      <c r="T103" s="3" t="inlineStr"/>
      <c r="U103" s="3" t="inlineStr"/>
    </row>
    <row r="104" ht="46" customHeight="1">
      <c r="A104" s="2" t="inlineStr">
        <is>
          <t>C10-2627-MATH-REQ022-DIAG-007</t>
        </is>
      </c>
      <c r="B104" s="2" t="inlineStr">
        <is>
          <t>Mathematics</t>
        </is>
      </c>
      <c r="C104" s="2" t="inlineStr">
        <is>
          <t>Coordinate Geometry</t>
        </is>
      </c>
      <c r="D104" s="2" t="inlineStr">
        <is>
          <t>Coordinate Geometry</t>
        </is>
      </c>
      <c r="E104" s="2" t="inlineStr">
        <is>
          <t>REQ_MATH_2026_022, REQ_MATH_2026_023</t>
        </is>
      </c>
      <c r="F104" s="2" t="inlineStr">
        <is>
          <t>LO_M7.1.1 — Derive and apply Distance Formula and Section Formula in Cartesian coordinate space.</t>
        </is>
      </c>
      <c r="G104" s="2" t="inlineStr">
        <is>
          <t>Distance and Section Formulas</t>
        </is>
      </c>
      <c r="H104" s="2" t="inlineStr">
        <is>
          <t>The triangle with vertices O(0, 0), A(4, 0) and B(0, 4) is</t>
        </is>
      </c>
      <c r="I104" s="2" t="inlineStr">
        <is>
          <t>A. scalene and obtuse
B. right angled and scalene
C. right angled and isosceles
D. equilateral</t>
        </is>
      </c>
      <c r="J104" s="2" t="inlineStr">
        <is>
          <t>right angled and isosceles</t>
        </is>
      </c>
      <c r="K104" s="2" t="inlineStr">
        <is>
          <t>OA = OB = 4 and the angle at O between the axes is 90 degrees, so the triangle is right angled and isosceles.</t>
        </is>
      </c>
      <c r="L104" s="2" t="n">
        <v>3</v>
      </c>
      <c r="M104" s="2" t="inlineStr">
        <is>
          <t>Maths_SecP1X_2026-27.pdf Page 3</t>
        </is>
      </c>
      <c r="N104" s="2" t="inlineStr">
        <is>
          <t>draft / unverified / REVIEW_PENDING</t>
        </is>
      </c>
      <c r="O104" s="3" t="inlineStr"/>
      <c r="P104" s="3" t="inlineStr"/>
      <c r="Q104" s="3" t="inlineStr"/>
      <c r="R104" s="3" t="inlineStr"/>
      <c r="S104" s="3" t="inlineStr"/>
      <c r="T104" s="3" t="inlineStr"/>
      <c r="U104" s="3" t="inlineStr"/>
    </row>
    <row r="105" ht="46" customHeight="1">
      <c r="A105" s="2" t="inlineStr">
        <is>
          <t>C10-2627-MATH-REQ022-DIAG-008</t>
        </is>
      </c>
      <c r="B105" s="2" t="inlineStr">
        <is>
          <t>Mathematics</t>
        </is>
      </c>
      <c r="C105" s="2" t="inlineStr">
        <is>
          <t>Coordinate Geometry</t>
        </is>
      </c>
      <c r="D105" s="2" t="inlineStr">
        <is>
          <t>Coordinate Geometry</t>
        </is>
      </c>
      <c r="E105" s="2" t="inlineStr">
        <is>
          <t>REQ_MATH_2026_022, REQ_MATH_2026_023</t>
        </is>
      </c>
      <c r="F105" s="2" t="inlineStr">
        <is>
          <t>LO_M7.1.1 — Derive and apply Distance Formula and Section Formula in Cartesian coordinate space.</t>
        </is>
      </c>
      <c r="G105" s="2" t="inlineStr">
        <is>
          <t>Distance and Section Formulas</t>
        </is>
      </c>
      <c r="H105" s="2" t="inlineStr">
        <is>
          <t>The distance between the points (2, y) and (10, -1) is 10 units. Find the possible values of y.</t>
        </is>
      </c>
      <c r="I105" s="2" t="inlineStr">
        <is>
          <t>(constructed response)</t>
        </is>
      </c>
      <c r="J105" s="2" t="inlineStr">
        <is>
          <t>y = 5 or y = -7</t>
        </is>
      </c>
      <c r="K105" s="2" t="inlineStr">
        <is>
          <t>64 + (y + 1)^2 = 100 gives (y + 1)^2 = 36, so y + 1 = 6 or -6 and y = 5 or -7.</t>
        </is>
      </c>
      <c r="L105" s="2" t="n">
        <v>3</v>
      </c>
      <c r="M105" s="2" t="inlineStr">
        <is>
          <t>Maths_SecP1X_2026-27.pdf Page 3</t>
        </is>
      </c>
      <c r="N105" s="2" t="inlineStr">
        <is>
          <t>draft / unverified / REVIEW_PENDING</t>
        </is>
      </c>
      <c r="O105" s="3" t="inlineStr"/>
      <c r="P105" s="3" t="inlineStr"/>
      <c r="Q105" s="3" t="inlineStr"/>
      <c r="R105" s="3" t="inlineStr"/>
      <c r="S105" s="3" t="inlineStr"/>
      <c r="T105" s="3" t="inlineStr"/>
      <c r="U105" s="3" t="inlineStr"/>
    </row>
    <row r="106" ht="46" customHeight="1">
      <c r="A106" s="2" t="inlineStr">
        <is>
          <t>C10-2627-MATH-REQ022-DIAG-009</t>
        </is>
      </c>
      <c r="B106" s="2" t="inlineStr">
        <is>
          <t>Mathematics</t>
        </is>
      </c>
      <c r="C106" s="2" t="inlineStr">
        <is>
          <t>Coordinate Geometry</t>
        </is>
      </c>
      <c r="D106" s="2" t="inlineStr">
        <is>
          <t>Coordinate Geometry</t>
        </is>
      </c>
      <c r="E106" s="2" t="inlineStr">
        <is>
          <t>REQ_MATH_2026_022, REQ_MATH_2026_023</t>
        </is>
      </c>
      <c r="F106" s="2" t="inlineStr">
        <is>
          <t>LO_M7.1.1 — Derive and apply Distance Formula and Section Formula in Cartesian coordinate space.</t>
        </is>
      </c>
      <c r="G106" s="2" t="inlineStr">
        <is>
          <t>Distance and Section Formulas</t>
        </is>
      </c>
      <c r="H106" s="2" t="inlineStr">
        <is>
          <t>Find the coordinates of the points of trisection of the line segment joining A(2, -2) and B(-7, 4).</t>
        </is>
      </c>
      <c r="I106" s="2" t="inlineStr">
        <is>
          <t>(constructed response)</t>
        </is>
      </c>
      <c r="J106" s="2" t="inlineStr">
        <is>
          <t>(-1, 0) and (-4, 2)</t>
        </is>
      </c>
      <c r="K106" s="2" t="inlineStr">
        <is>
          <t>Dividing in 1 : 2 gives ((1 x -7 + 2 x 2)/3, (1 x 4 + 2 x -2)/3) = (-1, 0), and dividing in 2 : 1 gives (-4, 2).</t>
        </is>
      </c>
      <c r="L106" s="2" t="n">
        <v>4</v>
      </c>
      <c r="M106" s="2" t="inlineStr">
        <is>
          <t>Maths_SecP1X_2026-27.pdf Page 3</t>
        </is>
      </c>
      <c r="N106" s="2" t="inlineStr">
        <is>
          <t>draft / unverified / REVIEW_PENDING</t>
        </is>
      </c>
      <c r="O106" s="3" t="inlineStr"/>
      <c r="P106" s="3" t="inlineStr"/>
      <c r="Q106" s="3" t="inlineStr"/>
      <c r="R106" s="3" t="inlineStr"/>
      <c r="S106" s="3" t="inlineStr"/>
      <c r="T106" s="3" t="inlineStr"/>
      <c r="U106" s="3" t="inlineStr"/>
    </row>
    <row r="107" ht="46" customHeight="1">
      <c r="A107" s="2" t="inlineStr">
        <is>
          <t>C10-2627-MATH-REQ022-DIAG-010</t>
        </is>
      </c>
      <c r="B107" s="2" t="inlineStr">
        <is>
          <t>Mathematics</t>
        </is>
      </c>
      <c r="C107" s="2" t="inlineStr">
        <is>
          <t>Coordinate Geometry</t>
        </is>
      </c>
      <c r="D107" s="2" t="inlineStr">
        <is>
          <t>Coordinate Geometry</t>
        </is>
      </c>
      <c r="E107" s="2" t="inlineStr">
        <is>
          <t>REQ_MATH_2026_022, REQ_MATH_2026_023</t>
        </is>
      </c>
      <c r="F107" s="2" t="inlineStr">
        <is>
          <t>LO_M7.1.1 — Derive and apply Distance Formula and Section Formula in Cartesian coordinate space.</t>
        </is>
      </c>
      <c r="G107" s="2" t="inlineStr">
        <is>
          <t>Distance and Section Formulas</t>
        </is>
      </c>
      <c r="H107" s="2" t="inlineStr">
        <is>
          <t>Assertion (A): The midpoint of a segment divides it in the ratio 1 : 1.
Reason (R): The section formula with m = n reduces to the average of the coordinates of the endpoints.
Choose the correct option.</t>
        </is>
      </c>
      <c r="I107" s="2" t="inlineStr">
        <is>
          <t>A. Both A and R are true and R is the correct explanation of A.
B. Both A and R are true but R is not the correct explanation of A.
C. A is true but R is false.
D. A is false but R is true.</t>
        </is>
      </c>
      <c r="J107" s="2" t="inlineStr">
        <is>
          <t>Both A and R are true and R is the correct explanation of A.</t>
        </is>
      </c>
      <c r="K107" s="2" t="inlineStr">
        <is>
          <t>Putting m = n in the section formula gives ((x1 + x2)/2, (y1 + y2)/2), which is exactly the midpoint.</t>
        </is>
      </c>
      <c r="L107" s="2" t="n">
        <v>2</v>
      </c>
      <c r="M107" s="2" t="inlineStr">
        <is>
          <t>Maths_SecP1X_2026-27.pdf Page 3</t>
        </is>
      </c>
      <c r="N107" s="2" t="inlineStr">
        <is>
          <t>draft / unverified / REVIEW_PENDING</t>
        </is>
      </c>
      <c r="O107" s="3" t="inlineStr"/>
      <c r="P107" s="3" t="inlineStr"/>
      <c r="Q107" s="3" t="inlineStr"/>
      <c r="R107" s="3" t="inlineStr"/>
      <c r="S107" s="3" t="inlineStr"/>
      <c r="T107" s="3" t="inlineStr"/>
      <c r="U107" s="3" t="inlineStr"/>
    </row>
    <row r="108" ht="46" customHeight="1">
      <c r="A108" s="2" t="inlineStr">
        <is>
          <t>C10-2627-MATH-REQ022-DIAG-011</t>
        </is>
      </c>
      <c r="B108" s="2" t="inlineStr">
        <is>
          <t>Mathematics</t>
        </is>
      </c>
      <c r="C108" s="2" t="inlineStr">
        <is>
          <t>Coordinate Geometry</t>
        </is>
      </c>
      <c r="D108" s="2" t="inlineStr">
        <is>
          <t>Coordinate Geometry</t>
        </is>
      </c>
      <c r="E108" s="2" t="inlineStr">
        <is>
          <t>REQ_MATH_2026_022, REQ_MATH_2026_023</t>
        </is>
      </c>
      <c r="F108" s="2" t="inlineStr">
        <is>
          <t>LO_M7.1.1 — Derive and apply Distance Formula and Section Formula in Cartesian coordinate space.</t>
        </is>
      </c>
      <c r="G108" s="2" t="inlineStr">
        <is>
          <t>Distance and Section Formulas</t>
        </is>
      </c>
      <c r="H108" s="2" t="inlineStr">
        <is>
          <t>In what ratio does the x-axis divide the line segment joining A(2, -3) and B(5, 6)?</t>
        </is>
      </c>
      <c r="I108" s="2" t="inlineStr">
        <is>
          <t>(constructed response)</t>
        </is>
      </c>
      <c r="J108" s="2" t="inlineStr">
        <is>
          <t>1 : 2</t>
        </is>
      </c>
      <c r="K108" s="2" t="inlineStr">
        <is>
          <t>On the x-axis the y-coordinate is 0, so (6m - 3n)/(m + n) = 0, giving 6m = 3n and m : n = 1 : 2.</t>
        </is>
      </c>
      <c r="L108" s="2" t="n">
        <v>4</v>
      </c>
      <c r="M108" s="2" t="inlineStr">
        <is>
          <t>Maths_SecP1X_2026-27.pdf Page 3</t>
        </is>
      </c>
      <c r="N108" s="2" t="inlineStr">
        <is>
          <t>draft / unverified / REVIEW_PENDING</t>
        </is>
      </c>
      <c r="O108" s="3" t="inlineStr"/>
      <c r="P108" s="3" t="inlineStr"/>
      <c r="Q108" s="3" t="inlineStr"/>
      <c r="R108" s="3" t="inlineStr"/>
      <c r="S108" s="3" t="inlineStr"/>
      <c r="T108" s="3" t="inlineStr"/>
      <c r="U108" s="3" t="inlineStr"/>
    </row>
    <row r="109" ht="46" customHeight="1">
      <c r="A109" s="2" t="inlineStr">
        <is>
          <t>C10-2627-MATH-REQ022-DIAG-012</t>
        </is>
      </c>
      <c r="B109" s="2" t="inlineStr">
        <is>
          <t>Mathematics</t>
        </is>
      </c>
      <c r="C109" s="2" t="inlineStr">
        <is>
          <t>Coordinate Geometry</t>
        </is>
      </c>
      <c r="D109" s="2" t="inlineStr">
        <is>
          <t>Coordinate Geometry</t>
        </is>
      </c>
      <c r="E109" s="2" t="inlineStr">
        <is>
          <t>REQ_MATH_2026_022, REQ_MATH_2026_023</t>
        </is>
      </c>
      <c r="F109" s="2" t="inlineStr">
        <is>
          <t>LO_M7.1.1 — Derive and apply Distance Formula and Section Formula in Cartesian coordinate space.</t>
        </is>
      </c>
      <c r="G109" s="2" t="inlineStr">
        <is>
          <t>Distance and Section Formulas</t>
        </is>
      </c>
      <c r="H109" s="2" t="inlineStr">
        <is>
          <t>The distance between the points (a, 0) and (0, b) is</t>
        </is>
      </c>
      <c r="I109" s="2" t="inlineStr">
        <is>
          <t>A. a + b
B. root(a^2 - b^2)
C. |a - b|
D. root(a^2 + b^2)</t>
        </is>
      </c>
      <c r="J109" s="2" t="inlineStr">
        <is>
          <t>root(a^2 + b^2)</t>
        </is>
      </c>
      <c r="K109" s="2" t="inlineStr">
        <is>
          <t>The distance formula gives root((a - 0)^2 + (0 - b)^2) = root(a^2 + b^2).</t>
        </is>
      </c>
      <c r="L109" s="2" t="n">
        <v>2</v>
      </c>
      <c r="M109" s="2" t="inlineStr">
        <is>
          <t>Maths_SecP1X_2026-27.pdf Page 3</t>
        </is>
      </c>
      <c r="N109" s="2" t="inlineStr">
        <is>
          <t>draft / unverified / REVIEW_PENDING</t>
        </is>
      </c>
      <c r="O109" s="3" t="inlineStr"/>
      <c r="P109" s="3" t="inlineStr"/>
      <c r="Q109" s="3" t="inlineStr"/>
      <c r="R109" s="3" t="inlineStr"/>
      <c r="S109" s="3" t="inlineStr"/>
      <c r="T109" s="3" t="inlineStr"/>
      <c r="U109" s="3" t="inlineStr"/>
    </row>
    <row r="110" ht="46" customHeight="1">
      <c r="A110" s="2" t="inlineStr">
        <is>
          <t>C10-2627-MATH-REQ022-DIAG-013</t>
        </is>
      </c>
      <c r="B110" s="2" t="inlineStr">
        <is>
          <t>Mathematics</t>
        </is>
      </c>
      <c r="C110" s="2" t="inlineStr">
        <is>
          <t>Coordinate Geometry</t>
        </is>
      </c>
      <c r="D110" s="2" t="inlineStr">
        <is>
          <t>Coordinate Geometry</t>
        </is>
      </c>
      <c r="E110" s="2" t="inlineStr">
        <is>
          <t>REQ_MATH_2026_022, REQ_MATH_2026_023</t>
        </is>
      </c>
      <c r="F110" s="2" t="inlineStr">
        <is>
          <t>LO_M7.1.1 — Derive and apply Distance Formula and Section Formula in Cartesian coordinate space.</t>
        </is>
      </c>
      <c r="G110" s="2" t="inlineStr">
        <is>
          <t>Distance and Section Formulas</t>
        </is>
      </c>
      <c r="H110" s="2" t="inlineStr">
        <is>
          <t>Three sensors are placed on a coordinate grid:
| Sensor | Position |
| S1 | (3, 4) |
| S2 | (-6, 2) |
| S3 | (5, -12) |
Which sensor is nearest to the origin, and what is its distance?</t>
        </is>
      </c>
      <c r="I110" s="2" t="inlineStr">
        <is>
          <t>(constructed response)</t>
        </is>
      </c>
      <c r="J110" s="2" t="inlineStr">
        <is>
          <t>S1, at 5 units</t>
        </is>
      </c>
      <c r="K110" s="2" t="inlineStr">
        <is>
          <t>The distances from the origin are 5, root 40 which is about 6.32, and 13, so S1 is nearest.</t>
        </is>
      </c>
      <c r="L110" s="2" t="n">
        <v>3</v>
      </c>
      <c r="M110" s="2" t="inlineStr">
        <is>
          <t>Maths_SecP1X_2026-27.pdf Page 3</t>
        </is>
      </c>
      <c r="N110" s="2" t="inlineStr">
        <is>
          <t>draft / unverified / REVIEW_PENDING</t>
        </is>
      </c>
      <c r="O110" s="3" t="inlineStr"/>
      <c r="P110" s="3" t="inlineStr"/>
      <c r="Q110" s="3" t="inlineStr"/>
      <c r="R110" s="3" t="inlineStr"/>
      <c r="S110" s="3" t="inlineStr"/>
      <c r="T110" s="3" t="inlineStr"/>
      <c r="U110" s="3" t="inlineStr"/>
    </row>
    <row r="111" ht="46" customHeight="1">
      <c r="A111" s="2" t="inlineStr">
        <is>
          <t>C10-2627-MATH-REQ022-DIAG-014</t>
        </is>
      </c>
      <c r="B111" s="2" t="inlineStr">
        <is>
          <t>Mathematics</t>
        </is>
      </c>
      <c r="C111" s="2" t="inlineStr">
        <is>
          <t>Coordinate Geometry</t>
        </is>
      </c>
      <c r="D111" s="2" t="inlineStr">
        <is>
          <t>Coordinate Geometry</t>
        </is>
      </c>
      <c r="E111" s="2" t="inlineStr">
        <is>
          <t>REQ_MATH_2026_022, REQ_MATH_2026_023</t>
        </is>
      </c>
      <c r="F111" s="2" t="inlineStr">
        <is>
          <t>LO_M7.1.1 — Derive and apply Distance Formula and Section Formula in Cartesian coordinate space.</t>
        </is>
      </c>
      <c r="G111" s="2" t="inlineStr">
        <is>
          <t>Distance and Section Formulas</t>
        </is>
      </c>
      <c r="H111" s="2" t="inlineStr">
        <is>
          <t>Three vertices of a parallelogram taken in order are A(1, 2), B(4, 3) and C(6, 6). Find the fourth vertex D.</t>
        </is>
      </c>
      <c r="I111" s="2" t="inlineStr">
        <is>
          <t>(constructed response)</t>
        </is>
      </c>
      <c r="J111" s="2" t="inlineStr">
        <is>
          <t>(3, 5)</t>
        </is>
      </c>
      <c r="K111" s="2" t="inlineStr">
        <is>
          <t>The diagonals of a parallelogram bisect each other, so the midpoint of AC equals the midpoint of BD. Hence D = A + C - B = (1 + 6 - 4, 2 + 6 - 3) = (3, 5).</t>
        </is>
      </c>
      <c r="L111" s="2" t="n">
        <v>4</v>
      </c>
      <c r="M111" s="2" t="inlineStr">
        <is>
          <t>Maths_SecP1X_2026-27.pdf Page 3</t>
        </is>
      </c>
      <c r="N111" s="2" t="inlineStr">
        <is>
          <t>draft / unverified / REVIEW_PENDING</t>
        </is>
      </c>
      <c r="O111" s="3" t="inlineStr"/>
      <c r="P111" s="3" t="inlineStr"/>
      <c r="Q111" s="3" t="inlineStr"/>
      <c r="R111" s="3" t="inlineStr"/>
      <c r="S111" s="3" t="inlineStr"/>
      <c r="T111" s="3" t="inlineStr"/>
      <c r="U111" s="3" t="inlineStr"/>
    </row>
    <row r="112" ht="46" customHeight="1">
      <c r="A112" s="2" t="inlineStr">
        <is>
          <t>C10-2627-MATH-REQ022-DIAG-015</t>
        </is>
      </c>
      <c r="B112" s="2" t="inlineStr">
        <is>
          <t>Mathematics</t>
        </is>
      </c>
      <c r="C112" s="2" t="inlineStr">
        <is>
          <t>Coordinate Geometry</t>
        </is>
      </c>
      <c r="D112" s="2" t="inlineStr">
        <is>
          <t>Coordinate Geometry</t>
        </is>
      </c>
      <c r="E112" s="2" t="inlineStr">
        <is>
          <t>REQ_MATH_2026_022, REQ_MATH_2026_023</t>
        </is>
      </c>
      <c r="F112" s="2" t="inlineStr">
        <is>
          <t>LO_M7.1.1 — Derive and apply Distance Formula and Section Formula in Cartesian coordinate space.</t>
        </is>
      </c>
      <c r="G112" s="2" t="inlineStr">
        <is>
          <t>Distance and Section Formulas</t>
        </is>
      </c>
      <c r="H112" s="2" t="inlineStr">
        <is>
          <t>The endpoints of a diameter of a circle are (-2, 3) and (8, -5). Find the centre of the circle.</t>
        </is>
      </c>
      <c r="I112" s="2" t="inlineStr">
        <is>
          <t>(constructed response)</t>
        </is>
      </c>
      <c r="J112" s="2" t="inlineStr">
        <is>
          <t>(3, -1)</t>
        </is>
      </c>
      <c r="K112" s="2" t="inlineStr">
        <is>
          <t>The centre is the midpoint of the diameter, ((-2 + 8)/2, (3 + (-5))/2) = (3, -1).</t>
        </is>
      </c>
      <c r="L112" s="2" t="n">
        <v>3</v>
      </c>
      <c r="M112" s="2" t="inlineStr">
        <is>
          <t>Maths_SecP1X_2026-27.pdf Page 3</t>
        </is>
      </c>
      <c r="N112" s="2" t="inlineStr">
        <is>
          <t>draft / unverified / REVIEW_PENDING</t>
        </is>
      </c>
      <c r="O112" s="3" t="inlineStr"/>
      <c r="P112" s="3" t="inlineStr"/>
      <c r="Q112" s="3" t="inlineStr"/>
      <c r="R112" s="3" t="inlineStr"/>
      <c r="S112" s="3" t="inlineStr"/>
      <c r="T112" s="3" t="inlineStr"/>
      <c r="U112" s="3" t="inlineStr"/>
    </row>
    <row r="113" ht="46" customHeight="1">
      <c r="A113" s="2" t="inlineStr">
        <is>
          <t>C10-2627-MATH-REQ022-DIAG-016</t>
        </is>
      </c>
      <c r="B113" s="2" t="inlineStr">
        <is>
          <t>Mathematics</t>
        </is>
      </c>
      <c r="C113" s="2" t="inlineStr">
        <is>
          <t>Coordinate Geometry</t>
        </is>
      </c>
      <c r="D113" s="2" t="inlineStr">
        <is>
          <t>Coordinate Geometry</t>
        </is>
      </c>
      <c r="E113" s="2" t="inlineStr">
        <is>
          <t>REQ_MATH_2026_022, REQ_MATH_2026_023</t>
        </is>
      </c>
      <c r="F113" s="2" t="inlineStr">
        <is>
          <t>LO_M7.1.1 — Derive and apply Distance Formula and Section Formula in Cartesian coordinate space.</t>
        </is>
      </c>
      <c r="G113" s="2" t="inlineStr">
        <is>
          <t>Distance and Section Formulas</t>
        </is>
      </c>
      <c r="H113" s="2" t="inlineStr">
        <is>
          <t>A delivery rider starts at the depot D(0, 0), rides to a customer at C1(6, 8) and then to a second customer at C2(6, 20). Each grid unit is one kilometre and the rider travels in straight lines.
Find the total distance ridden from the depot to the second customer.</t>
        </is>
      </c>
      <c r="I113" s="2" t="inlineStr">
        <is>
          <t>(constructed response)</t>
        </is>
      </c>
      <c r="J113" s="2" t="inlineStr">
        <is>
          <t>22 km</t>
        </is>
      </c>
      <c r="K113" s="2" t="inlineStr">
        <is>
          <t>D to C1 is root(36 + 64) = 10 km and C1 to C2 is root(0 + 144) = 12 km, so the total is 22 km.</t>
        </is>
      </c>
      <c r="L113" s="2" t="n">
        <v>4</v>
      </c>
      <c r="M113" s="2" t="inlineStr">
        <is>
          <t>Maths_SecP1X_2026-27.pdf Page 3</t>
        </is>
      </c>
      <c r="N113" s="2" t="inlineStr">
        <is>
          <t>draft / unverified / REVIEW_PENDING</t>
        </is>
      </c>
      <c r="O113" s="3" t="inlineStr"/>
      <c r="P113" s="3" t="inlineStr"/>
      <c r="Q113" s="3" t="inlineStr"/>
      <c r="R113" s="3" t="inlineStr"/>
      <c r="S113" s="3" t="inlineStr"/>
      <c r="T113" s="3" t="inlineStr"/>
      <c r="U113" s="3" t="inlineStr"/>
    </row>
    <row r="114" ht="46" customHeight="1">
      <c r="A114" s="2" t="inlineStr">
        <is>
          <t>C10-2627-MATH-REQ022-DIAG-017</t>
        </is>
      </c>
      <c r="B114" s="2" t="inlineStr">
        <is>
          <t>Mathematics</t>
        </is>
      </c>
      <c r="C114" s="2" t="inlineStr">
        <is>
          <t>Coordinate Geometry</t>
        </is>
      </c>
      <c r="D114" s="2" t="inlineStr">
        <is>
          <t>Coordinate Geometry</t>
        </is>
      </c>
      <c r="E114" s="2" t="inlineStr">
        <is>
          <t>REQ_MATH_2026_022, REQ_MATH_2026_023</t>
        </is>
      </c>
      <c r="F114" s="2" t="inlineStr">
        <is>
          <t>LO_M7.1.1 — Derive and apply Distance Formula and Section Formula in Cartesian coordinate space.</t>
        </is>
      </c>
      <c r="G114" s="2" t="inlineStr">
        <is>
          <t>Distance and Section Formulas</t>
        </is>
      </c>
      <c r="H114" s="2" t="inlineStr">
        <is>
          <t>State whether the following is true or false, and justify in one line: The points (1, 1), (2, 2) and (3, 3) are collinear.</t>
        </is>
      </c>
      <c r="I114" s="2" t="inlineStr">
        <is>
          <t>A. True
B. False</t>
        </is>
      </c>
      <c r="J114" s="2" t="inlineStr">
        <is>
          <t>True</t>
        </is>
      </c>
      <c r="K114" s="2" t="inlineStr">
        <is>
          <t>The distances give AB = BC = root 2 and AC = 2 root 2, so AB + BC = AC and the points lie on one line.</t>
        </is>
      </c>
      <c r="L114" s="2" t="n">
        <v>2</v>
      </c>
      <c r="M114" s="2" t="inlineStr">
        <is>
          <t>Maths_SecP1X_2026-27.pdf Page 3</t>
        </is>
      </c>
      <c r="N114" s="2" t="inlineStr">
        <is>
          <t>draft / unverified / REVIEW_PENDING</t>
        </is>
      </c>
      <c r="O114" s="3" t="inlineStr"/>
      <c r="P114" s="3" t="inlineStr"/>
      <c r="Q114" s="3" t="inlineStr"/>
      <c r="R114" s="3" t="inlineStr"/>
      <c r="S114" s="3" t="inlineStr"/>
      <c r="T114" s="3" t="inlineStr"/>
      <c r="U114" s="3" t="inlineStr"/>
    </row>
    <row r="115" ht="46" customHeight="1">
      <c r="A115" s="2" t="inlineStr">
        <is>
          <t>C10-2627-MATH-REQ022-REASS-001</t>
        </is>
      </c>
      <c r="B115" s="2" t="inlineStr">
        <is>
          <t>Mathematics</t>
        </is>
      </c>
      <c r="C115" s="2" t="inlineStr">
        <is>
          <t>Coordinate Geometry</t>
        </is>
      </c>
      <c r="D115" s="2" t="inlineStr">
        <is>
          <t>Coordinate Geometry</t>
        </is>
      </c>
      <c r="E115" s="2" t="inlineStr">
        <is>
          <t>REQ_MATH_2026_022, REQ_MATH_2026_023</t>
        </is>
      </c>
      <c r="F115" s="2" t="inlineStr">
        <is>
          <t>LO_M7.1.1 — Derive and apply Distance Formula and Section Formula in Cartesian coordinate space.</t>
        </is>
      </c>
      <c r="G115" s="2" t="inlineStr">
        <is>
          <t>Distance and Section Formulas</t>
        </is>
      </c>
      <c r="H115" s="2" t="inlineStr">
        <is>
          <t>Find the distance between the points P(-5, 7) and Q(-1, 3), leaving the answer in surd form.</t>
        </is>
      </c>
      <c r="I115" s="2" t="inlineStr">
        <is>
          <t>(constructed response)</t>
        </is>
      </c>
      <c r="J115" s="2" t="inlineStr">
        <is>
          <t>4 root 2 units</t>
        </is>
      </c>
      <c r="K115" s="2" t="inlineStr">
        <is>
          <t>The distance is root((-5 + 1)^2 + (7 - 3)^2) = root 32 = 4 root 2 units, about 5.66 units.</t>
        </is>
      </c>
      <c r="L115" s="2" t="n">
        <v>2</v>
      </c>
      <c r="M115" s="2" t="inlineStr">
        <is>
          <t>Maths_SecP1X_2026-27.pdf Page 3</t>
        </is>
      </c>
      <c r="N115" s="2" t="inlineStr">
        <is>
          <t>draft / unverified / REVIEW_PENDING</t>
        </is>
      </c>
      <c r="O115" s="3" t="inlineStr"/>
      <c r="P115" s="3" t="inlineStr"/>
      <c r="Q115" s="3" t="inlineStr"/>
      <c r="R115" s="3" t="inlineStr"/>
      <c r="S115" s="3" t="inlineStr"/>
      <c r="T115" s="3" t="inlineStr"/>
      <c r="U115" s="3" t="inlineStr"/>
    </row>
    <row r="116" ht="46" customHeight="1">
      <c r="A116" s="2" t="inlineStr">
        <is>
          <t>C10-2627-MATH-REQ022-REASS-002</t>
        </is>
      </c>
      <c r="B116" s="2" t="inlineStr">
        <is>
          <t>Mathematics</t>
        </is>
      </c>
      <c r="C116" s="2" t="inlineStr">
        <is>
          <t>Coordinate Geometry</t>
        </is>
      </c>
      <c r="D116" s="2" t="inlineStr">
        <is>
          <t>Coordinate Geometry</t>
        </is>
      </c>
      <c r="E116" s="2" t="inlineStr">
        <is>
          <t>REQ_MATH_2026_022, REQ_MATH_2026_023</t>
        </is>
      </c>
      <c r="F116" s="2" t="inlineStr">
        <is>
          <t>LO_M7.1.1 — Derive and apply Distance Formula and Section Formula in Cartesian coordinate space.</t>
        </is>
      </c>
      <c r="G116" s="2" t="inlineStr">
        <is>
          <t>Distance and Section Formulas</t>
        </is>
      </c>
      <c r="H116" s="2" t="inlineStr">
        <is>
          <t>How far is the point (-9, 12) from the origin?</t>
        </is>
      </c>
      <c r="I116" s="2" t="inlineStr">
        <is>
          <t>(constructed response)</t>
        </is>
      </c>
      <c r="J116" s="2" t="inlineStr">
        <is>
          <t>15 units</t>
        </is>
      </c>
      <c r="K116" s="2" t="inlineStr">
        <is>
          <t>The distance is root(81 + 144) = root 225 = 15 units.</t>
        </is>
      </c>
      <c r="L116" s="2" t="n">
        <v>2</v>
      </c>
      <c r="M116" s="2" t="inlineStr">
        <is>
          <t>Maths_SecP1X_2026-27.pdf Page 3</t>
        </is>
      </c>
      <c r="N116" s="2" t="inlineStr">
        <is>
          <t>draft / unverified / REVIEW_PENDING</t>
        </is>
      </c>
      <c r="O116" s="3" t="inlineStr"/>
      <c r="P116" s="3" t="inlineStr"/>
      <c r="Q116" s="3" t="inlineStr"/>
      <c r="R116" s="3" t="inlineStr"/>
      <c r="S116" s="3" t="inlineStr"/>
      <c r="T116" s="3" t="inlineStr"/>
      <c r="U116" s="3" t="inlineStr"/>
    </row>
    <row r="117" ht="46" customHeight="1">
      <c r="A117" s="2" t="inlineStr">
        <is>
          <t>C10-2627-MATH-REQ022-REASS-003</t>
        </is>
      </c>
      <c r="B117" s="2" t="inlineStr">
        <is>
          <t>Mathematics</t>
        </is>
      </c>
      <c r="C117" s="2" t="inlineStr">
        <is>
          <t>Coordinate Geometry</t>
        </is>
      </c>
      <c r="D117" s="2" t="inlineStr">
        <is>
          <t>Coordinate Geometry</t>
        </is>
      </c>
      <c r="E117" s="2" t="inlineStr">
        <is>
          <t>REQ_MATH_2026_022, REQ_MATH_2026_023</t>
        </is>
      </c>
      <c r="F117" s="2" t="inlineStr">
        <is>
          <t>LO_M7.1.1 — Derive and apply Distance Formula and Section Formula in Cartesian coordinate space.</t>
        </is>
      </c>
      <c r="G117" s="2" t="inlineStr">
        <is>
          <t>Distance and Section Formulas</t>
        </is>
      </c>
      <c r="H117" s="2" t="inlineStr">
        <is>
          <t>Find the point on the y-axis that is equidistant from A(5, -2) and B(-3, 2).</t>
        </is>
      </c>
      <c r="I117" s="2" t="inlineStr">
        <is>
          <t>(constructed response)</t>
        </is>
      </c>
      <c r="J117" s="2" t="inlineStr">
        <is>
          <t>(0, -2)</t>
        </is>
      </c>
      <c r="K117" s="2" t="inlineStr">
        <is>
          <t>Let the point be (0, y). Then 25 + (y + 2)^2 = 9 + (y - 2)^2, so 8y = -16 and y = -2.</t>
        </is>
      </c>
      <c r="L117" s="2" t="n">
        <v>4</v>
      </c>
      <c r="M117" s="2" t="inlineStr">
        <is>
          <t>Maths_SecP1X_2026-27.pdf Page 3</t>
        </is>
      </c>
      <c r="N117" s="2" t="inlineStr">
        <is>
          <t>draft / unverified / REVIEW_PENDING</t>
        </is>
      </c>
      <c r="O117" s="3" t="inlineStr"/>
      <c r="P117" s="3" t="inlineStr"/>
      <c r="Q117" s="3" t="inlineStr"/>
      <c r="R117" s="3" t="inlineStr"/>
      <c r="S117" s="3" t="inlineStr"/>
      <c r="T117" s="3" t="inlineStr"/>
      <c r="U117" s="3" t="inlineStr"/>
    </row>
    <row r="118" ht="46" customHeight="1">
      <c r="A118" s="2" t="inlineStr">
        <is>
          <t>C10-2627-MATH-REQ022-REASS-004</t>
        </is>
      </c>
      <c r="B118" s="2" t="inlineStr">
        <is>
          <t>Mathematics</t>
        </is>
      </c>
      <c r="C118" s="2" t="inlineStr">
        <is>
          <t>Coordinate Geometry</t>
        </is>
      </c>
      <c r="D118" s="2" t="inlineStr">
        <is>
          <t>Coordinate Geometry</t>
        </is>
      </c>
      <c r="E118" s="2" t="inlineStr">
        <is>
          <t>REQ_MATH_2026_022, REQ_MATH_2026_023</t>
        </is>
      </c>
      <c r="F118" s="2" t="inlineStr">
        <is>
          <t>LO_M7.1.1 — Derive and apply Distance Formula and Section Formula in Cartesian coordinate space.</t>
        </is>
      </c>
      <c r="G118" s="2" t="inlineStr">
        <is>
          <t>Distance and Section Formulas</t>
        </is>
      </c>
      <c r="H118" s="2" t="inlineStr">
        <is>
          <t>The midpoint of the segment joining (7, -3) and (-1, 9) is</t>
        </is>
      </c>
      <c r="I118" s="2" t="inlineStr">
        <is>
          <t>A. (4, 6)
B. (3, 6)
C. (6, 3)
D. (3, 3)</t>
        </is>
      </c>
      <c r="J118" s="2" t="inlineStr">
        <is>
          <t>(3, 3)</t>
        </is>
      </c>
      <c r="K118" s="2" t="inlineStr">
        <is>
          <t>The midpoint is ((7 - 1)/2, (-3 + 9)/2) = (3, 3).</t>
        </is>
      </c>
      <c r="L118" s="2" t="n">
        <v>1</v>
      </c>
      <c r="M118" s="2" t="inlineStr">
        <is>
          <t>Maths_SecP1X_2026-27.pdf Page 3</t>
        </is>
      </c>
      <c r="N118" s="2" t="inlineStr">
        <is>
          <t>draft / unverified / REVIEW_PENDING</t>
        </is>
      </c>
      <c r="O118" s="3" t="inlineStr"/>
      <c r="P118" s="3" t="inlineStr"/>
      <c r="Q118" s="3" t="inlineStr"/>
      <c r="R118" s="3" t="inlineStr"/>
      <c r="S118" s="3" t="inlineStr"/>
      <c r="T118" s="3" t="inlineStr"/>
      <c r="U118" s="3" t="inlineStr"/>
    </row>
    <row r="119" ht="46" customHeight="1">
      <c r="A119" s="2" t="inlineStr">
        <is>
          <t>C10-2627-MATH-REQ022-REASS-005</t>
        </is>
      </c>
      <c r="B119" s="2" t="inlineStr">
        <is>
          <t>Mathematics</t>
        </is>
      </c>
      <c r="C119" s="2" t="inlineStr">
        <is>
          <t>Coordinate Geometry</t>
        </is>
      </c>
      <c r="D119" s="2" t="inlineStr">
        <is>
          <t>Coordinate Geometry</t>
        </is>
      </c>
      <c r="E119" s="2" t="inlineStr">
        <is>
          <t>REQ_MATH_2026_022, REQ_MATH_2026_023</t>
        </is>
      </c>
      <c r="F119" s="2" t="inlineStr">
        <is>
          <t>LO_M7.1.1 — Derive and apply Distance Formula and Section Formula in Cartesian coordinate space.</t>
        </is>
      </c>
      <c r="G119" s="2" t="inlineStr">
        <is>
          <t>Distance and Section Formulas</t>
        </is>
      </c>
      <c r="H119" s="2" t="inlineStr">
        <is>
          <t>Find the point dividing the segment joining (-1, 7) and (4, -3) internally in the ratio 3 : 1.</t>
        </is>
      </c>
      <c r="I119" s="2" t="inlineStr">
        <is>
          <t>(constructed response)</t>
        </is>
      </c>
      <c r="J119" s="2" t="inlineStr">
        <is>
          <t>(11/4, -1/2)</t>
        </is>
      </c>
      <c r="K119" s="2" t="inlineStr">
        <is>
          <t>By the section formula the point is ((3 x 4 + 1 x -1)/4, (3 x -3 + 1 x 7)/4) = (11/4, -2/4) = (11/4, -1/2).</t>
        </is>
      </c>
      <c r="L119" s="2" t="n">
        <v>3</v>
      </c>
      <c r="M119" s="2" t="inlineStr">
        <is>
          <t>Maths_SecP1X_2026-27.pdf Page 3</t>
        </is>
      </c>
      <c r="N119" s="2" t="inlineStr">
        <is>
          <t>draft / unverified / REVIEW_PENDING</t>
        </is>
      </c>
      <c r="O119" s="3" t="inlineStr"/>
      <c r="P119" s="3" t="inlineStr"/>
      <c r="Q119" s="3" t="inlineStr"/>
      <c r="R119" s="3" t="inlineStr"/>
      <c r="S119" s="3" t="inlineStr"/>
      <c r="T119" s="3" t="inlineStr"/>
      <c r="U119" s="3" t="inlineStr"/>
    </row>
    <row r="120" ht="46" customHeight="1">
      <c r="A120" s="2" t="inlineStr">
        <is>
          <t>C10-2627-MATH-REQ022-REASS-006</t>
        </is>
      </c>
      <c r="B120" s="2" t="inlineStr">
        <is>
          <t>Mathematics</t>
        </is>
      </c>
      <c r="C120" s="2" t="inlineStr">
        <is>
          <t>Coordinate Geometry</t>
        </is>
      </c>
      <c r="D120" s="2" t="inlineStr">
        <is>
          <t>Coordinate Geometry</t>
        </is>
      </c>
      <c r="E120" s="2" t="inlineStr">
        <is>
          <t>REQ_MATH_2026_022, REQ_MATH_2026_023</t>
        </is>
      </c>
      <c r="F120" s="2" t="inlineStr">
        <is>
          <t>LO_M7.1.1 — Derive and apply Distance Formula and Section Formula in Cartesian coordinate space.</t>
        </is>
      </c>
      <c r="G120" s="2" t="inlineStr">
        <is>
          <t>Distance and Section Formulas</t>
        </is>
      </c>
      <c r="H120" s="2" t="inlineStr">
        <is>
          <t>Two mobile towers are marked on a survey grid at T1(-4, -3) and T2(8, 2), where one grid unit represents 100 metres.
Find the distance between the towers in metres.</t>
        </is>
      </c>
      <c r="I120" s="2" t="inlineStr">
        <is>
          <t>(constructed response)</t>
        </is>
      </c>
      <c r="J120" s="2" t="inlineStr">
        <is>
          <t>1300 metres</t>
        </is>
      </c>
      <c r="K120" s="2" t="inlineStr">
        <is>
          <t>The grid distance is root(144 + 25) = 13 units, and each unit is 100 m, so the towers are 1300 m apart.</t>
        </is>
      </c>
      <c r="L120" s="2" t="n">
        <v>3</v>
      </c>
      <c r="M120" s="2" t="inlineStr">
        <is>
          <t>Maths_SecP1X_2026-27.pdf Page 3</t>
        </is>
      </c>
      <c r="N120" s="2" t="inlineStr">
        <is>
          <t>draft / unverified / REVIEW_PENDING</t>
        </is>
      </c>
      <c r="O120" s="3" t="inlineStr"/>
      <c r="P120" s="3" t="inlineStr"/>
      <c r="Q120" s="3" t="inlineStr"/>
      <c r="R120" s="3" t="inlineStr"/>
      <c r="S120" s="3" t="inlineStr"/>
      <c r="T120" s="3" t="inlineStr"/>
      <c r="U120" s="3" t="inlineStr"/>
    </row>
    <row r="121" ht="46" customHeight="1">
      <c r="A121" s="2" t="inlineStr">
        <is>
          <t>C10-2627-MATH-REQ022-REASS-007</t>
        </is>
      </c>
      <c r="B121" s="2" t="inlineStr">
        <is>
          <t>Mathematics</t>
        </is>
      </c>
      <c r="C121" s="2" t="inlineStr">
        <is>
          <t>Coordinate Geometry</t>
        </is>
      </c>
      <c r="D121" s="2" t="inlineStr">
        <is>
          <t>Coordinate Geometry</t>
        </is>
      </c>
      <c r="E121" s="2" t="inlineStr">
        <is>
          <t>REQ_MATH_2026_022, REQ_MATH_2026_023</t>
        </is>
      </c>
      <c r="F121" s="2" t="inlineStr">
        <is>
          <t>LO_M7.1.1 — Derive and apply Distance Formula and Section Formula in Cartesian coordinate space.</t>
        </is>
      </c>
      <c r="G121" s="2" t="inlineStr">
        <is>
          <t>Distance and Section Formulas</t>
        </is>
      </c>
      <c r="H121" s="2" t="inlineStr">
        <is>
          <t>The perimeter of the triangle with vertices (0, 0), (3, 0) and (0, 4) is</t>
        </is>
      </c>
      <c r="I121" s="2" t="inlineStr">
        <is>
          <t>A. 10 units
B. 14 units
C. 12 units
D. 7 units</t>
        </is>
      </c>
      <c r="J121" s="2" t="inlineStr">
        <is>
          <t>12 units</t>
        </is>
      </c>
      <c r="K121" s="2" t="inlineStr">
        <is>
          <t>The side lengths are 3, 4 and root(9 + 16) = 5, so the perimeter is 12 units.</t>
        </is>
      </c>
      <c r="L121" s="2" t="n">
        <v>3</v>
      </c>
      <c r="M121" s="2" t="inlineStr">
        <is>
          <t>Maths_SecP1X_2026-27.pdf Page 3</t>
        </is>
      </c>
      <c r="N121" s="2" t="inlineStr">
        <is>
          <t>draft / unverified / REVIEW_PENDING</t>
        </is>
      </c>
      <c r="O121" s="3" t="inlineStr"/>
      <c r="P121" s="3" t="inlineStr"/>
      <c r="Q121" s="3" t="inlineStr"/>
      <c r="R121" s="3" t="inlineStr"/>
      <c r="S121" s="3" t="inlineStr"/>
      <c r="T121" s="3" t="inlineStr"/>
      <c r="U121" s="3" t="inlineStr"/>
    </row>
    <row r="122" ht="46" customHeight="1">
      <c r="A122" s="2" t="inlineStr">
        <is>
          <t>C10-2627-MATH-REQ022-REASS-008</t>
        </is>
      </c>
      <c r="B122" s="2" t="inlineStr">
        <is>
          <t>Mathematics</t>
        </is>
      </c>
      <c r="C122" s="2" t="inlineStr">
        <is>
          <t>Coordinate Geometry</t>
        </is>
      </c>
      <c r="D122" s="2" t="inlineStr">
        <is>
          <t>Coordinate Geometry</t>
        </is>
      </c>
      <c r="E122" s="2" t="inlineStr">
        <is>
          <t>REQ_MATH_2026_022, REQ_MATH_2026_023</t>
        </is>
      </c>
      <c r="F122" s="2" t="inlineStr">
        <is>
          <t>LO_M7.1.1 — Derive and apply Distance Formula and Section Formula in Cartesian coordinate space.</t>
        </is>
      </c>
      <c r="G122" s="2" t="inlineStr">
        <is>
          <t>Distance and Section Formulas</t>
        </is>
      </c>
      <c r="H122" s="2" t="inlineStr">
        <is>
          <t>The distance between (x, 2) and (3, -6) is 17 units. Find the possible values of x.</t>
        </is>
      </c>
      <c r="I122" s="2" t="inlineStr">
        <is>
          <t>(constructed response)</t>
        </is>
      </c>
      <c r="J122" s="2" t="inlineStr">
        <is>
          <t>x = 18 or x = -12</t>
        </is>
      </c>
      <c r="K122" s="2" t="inlineStr">
        <is>
          <t>(x - 3)^2 + 64 = 289 gives (x - 3)^2 = 225, so x - 3 = 15 or -15 and x = 18 or -12.</t>
        </is>
      </c>
      <c r="L122" s="2" t="n">
        <v>3</v>
      </c>
      <c r="M122" s="2" t="inlineStr">
        <is>
          <t>Maths_SecP1X_2026-27.pdf Page 3</t>
        </is>
      </c>
      <c r="N122" s="2" t="inlineStr">
        <is>
          <t>draft / unverified / REVIEW_PENDING</t>
        </is>
      </c>
      <c r="O122" s="3" t="inlineStr"/>
      <c r="P122" s="3" t="inlineStr"/>
      <c r="Q122" s="3" t="inlineStr"/>
      <c r="R122" s="3" t="inlineStr"/>
      <c r="S122" s="3" t="inlineStr"/>
      <c r="T122" s="3" t="inlineStr"/>
      <c r="U122" s="3" t="inlineStr"/>
    </row>
    <row r="123" ht="46" customHeight="1">
      <c r="A123" s="2" t="inlineStr">
        <is>
          <t>C10-2627-MATH-REQ022-REASS-009</t>
        </is>
      </c>
      <c r="B123" s="2" t="inlineStr">
        <is>
          <t>Mathematics</t>
        </is>
      </c>
      <c r="C123" s="2" t="inlineStr">
        <is>
          <t>Coordinate Geometry</t>
        </is>
      </c>
      <c r="D123" s="2" t="inlineStr">
        <is>
          <t>Coordinate Geometry</t>
        </is>
      </c>
      <c r="E123" s="2" t="inlineStr">
        <is>
          <t>REQ_MATH_2026_022, REQ_MATH_2026_023</t>
        </is>
      </c>
      <c r="F123" s="2" t="inlineStr">
        <is>
          <t>LO_M7.1.1 — Derive and apply Distance Formula and Section Formula in Cartesian coordinate space.</t>
        </is>
      </c>
      <c r="G123" s="2" t="inlineStr">
        <is>
          <t>Distance and Section Formulas</t>
        </is>
      </c>
      <c r="H123" s="2" t="inlineStr">
        <is>
          <t>Find the two points that divide the segment joining A(-2, 2) and B(7, -4) in the ratios 1 : 2 and 2 : 1.</t>
        </is>
      </c>
      <c r="I123" s="2" t="inlineStr">
        <is>
          <t>(constructed response)</t>
        </is>
      </c>
      <c r="J123" s="2" t="inlineStr">
        <is>
          <t>(1, 0) and (4, -2)</t>
        </is>
      </c>
      <c r="K123" s="2" t="inlineStr">
        <is>
          <t>For 1 : 2 the point is ((7 + 2 x -2)/3, (-4 + 2 x 2)/3) = (1, 0); for 2 : 1 it is ((14 - 2)/3, (-8 + 2)/3) = (4, -2).</t>
        </is>
      </c>
      <c r="L123" s="2" t="n">
        <v>4</v>
      </c>
      <c r="M123" s="2" t="inlineStr">
        <is>
          <t>Maths_SecP1X_2026-27.pdf Page 3</t>
        </is>
      </c>
      <c r="N123" s="2" t="inlineStr">
        <is>
          <t>draft / unverified / REVIEW_PENDING</t>
        </is>
      </c>
      <c r="O123" s="3" t="inlineStr"/>
      <c r="P123" s="3" t="inlineStr"/>
      <c r="Q123" s="3" t="inlineStr"/>
      <c r="R123" s="3" t="inlineStr"/>
      <c r="S123" s="3" t="inlineStr"/>
      <c r="T123" s="3" t="inlineStr"/>
      <c r="U123" s="3" t="inlineStr"/>
    </row>
    <row r="124" ht="46" customHeight="1">
      <c r="A124" s="2" t="inlineStr">
        <is>
          <t>C10-2627-MATH-REQ022-REASS-010</t>
        </is>
      </c>
      <c r="B124" s="2" t="inlineStr">
        <is>
          <t>Mathematics</t>
        </is>
      </c>
      <c r="C124" s="2" t="inlineStr">
        <is>
          <t>Coordinate Geometry</t>
        </is>
      </c>
      <c r="D124" s="2" t="inlineStr">
        <is>
          <t>Coordinate Geometry</t>
        </is>
      </c>
      <c r="E124" s="2" t="inlineStr">
        <is>
          <t>REQ_MATH_2026_022, REQ_MATH_2026_023</t>
        </is>
      </c>
      <c r="F124" s="2" t="inlineStr">
        <is>
          <t>LO_M7.1.1 — Derive and apply Distance Formula and Section Formula in Cartesian coordinate space.</t>
        </is>
      </c>
      <c r="G124" s="2" t="inlineStr">
        <is>
          <t>Distance and Section Formulas</t>
        </is>
      </c>
      <c r="H124" s="2" t="inlineStr">
        <is>
          <t>Assertion (A): A point dividing a segment externally cannot be found with the internal section formula as it stands.
Reason (R): The internal section formula uses the sum m + n in its denominator.
Choose the correct option.</t>
        </is>
      </c>
      <c r="I124" s="2" t="inlineStr">
        <is>
          <t>A. Both A and R are true and R is the correct explanation of A.
B. Both A and R are true but R is not the correct explanation of A.
C. A is true but R is false.
D. A is false but R is true.</t>
        </is>
      </c>
      <c r="J124" s="2" t="inlineStr">
        <is>
          <t>Both A and R are true and R is the correct explanation of A.</t>
        </is>
      </c>
      <c r="K124" s="2" t="inlineStr">
        <is>
          <t>External division requires the difference of the ratio parts, so the internal formula with m + n does not apply unmodified.</t>
        </is>
      </c>
      <c r="L124" s="2" t="n">
        <v>3</v>
      </c>
      <c r="M124" s="2" t="inlineStr">
        <is>
          <t>Maths_SecP1X_2026-27.pdf Page 3</t>
        </is>
      </c>
      <c r="N124" s="2" t="inlineStr">
        <is>
          <t>draft / unverified / REVIEW_PENDING</t>
        </is>
      </c>
      <c r="O124" s="3" t="inlineStr"/>
      <c r="P124" s="3" t="inlineStr"/>
      <c r="Q124" s="3" t="inlineStr"/>
      <c r="R124" s="3" t="inlineStr"/>
      <c r="S124" s="3" t="inlineStr"/>
      <c r="T124" s="3" t="inlineStr"/>
      <c r="U124" s="3" t="inlineStr"/>
    </row>
    <row r="125" ht="46" customHeight="1">
      <c r="A125" s="2" t="inlineStr">
        <is>
          <t>C10-2627-MATH-REQ022-REASS-011</t>
        </is>
      </c>
      <c r="B125" s="2" t="inlineStr">
        <is>
          <t>Mathematics</t>
        </is>
      </c>
      <c r="C125" s="2" t="inlineStr">
        <is>
          <t>Coordinate Geometry</t>
        </is>
      </c>
      <c r="D125" s="2" t="inlineStr">
        <is>
          <t>Coordinate Geometry</t>
        </is>
      </c>
      <c r="E125" s="2" t="inlineStr">
        <is>
          <t>REQ_MATH_2026_022, REQ_MATH_2026_023</t>
        </is>
      </c>
      <c r="F125" s="2" t="inlineStr">
        <is>
          <t>LO_M7.1.1 — Derive and apply Distance Formula and Section Formula in Cartesian coordinate space.</t>
        </is>
      </c>
      <c r="G125" s="2" t="inlineStr">
        <is>
          <t>Distance and Section Formulas</t>
        </is>
      </c>
      <c r="H125" s="2" t="inlineStr">
        <is>
          <t>In what ratio does the y-axis divide the segment joining A(-3, 5) and B(6, -2)?</t>
        </is>
      </c>
      <c r="I125" s="2" t="inlineStr">
        <is>
          <t>(constructed response)</t>
        </is>
      </c>
      <c r="J125" s="2" t="inlineStr">
        <is>
          <t>1 : 2</t>
        </is>
      </c>
      <c r="K125" s="2" t="inlineStr">
        <is>
          <t>On the y-axis x = 0, so (6m - 3n)/(m + n) = 0, giving 6m = 3n and m : n = 1 : 2.</t>
        </is>
      </c>
      <c r="L125" s="2" t="n">
        <v>4</v>
      </c>
      <c r="M125" s="2" t="inlineStr">
        <is>
          <t>Maths_SecP1X_2026-27.pdf Page 3</t>
        </is>
      </c>
      <c r="N125" s="2" t="inlineStr">
        <is>
          <t>draft / unverified / REVIEW_PENDING</t>
        </is>
      </c>
      <c r="O125" s="3" t="inlineStr"/>
      <c r="P125" s="3" t="inlineStr"/>
      <c r="Q125" s="3" t="inlineStr"/>
      <c r="R125" s="3" t="inlineStr"/>
      <c r="S125" s="3" t="inlineStr"/>
      <c r="T125" s="3" t="inlineStr"/>
      <c r="U125" s="3" t="inlineStr"/>
    </row>
    <row r="126" ht="46" customHeight="1">
      <c r="A126" s="2" t="inlineStr">
        <is>
          <t>C10-2627-MATH-REQ022-REASS-012</t>
        </is>
      </c>
      <c r="B126" s="2" t="inlineStr">
        <is>
          <t>Mathematics</t>
        </is>
      </c>
      <c r="C126" s="2" t="inlineStr">
        <is>
          <t>Coordinate Geometry</t>
        </is>
      </c>
      <c r="D126" s="2" t="inlineStr">
        <is>
          <t>Coordinate Geometry</t>
        </is>
      </c>
      <c r="E126" s="2" t="inlineStr">
        <is>
          <t>REQ_MATH_2026_022, REQ_MATH_2026_023</t>
        </is>
      </c>
      <c r="F126" s="2" t="inlineStr">
        <is>
          <t>LO_M7.1.1 — Derive and apply Distance Formula and Section Formula in Cartesian coordinate space.</t>
        </is>
      </c>
      <c r="G126" s="2" t="inlineStr">
        <is>
          <t>Distance and Section Formulas</t>
        </is>
      </c>
      <c r="H126" s="2" t="inlineStr">
        <is>
          <t>The distance between the points (-a, -b) and (a, b) is</t>
        </is>
      </c>
      <c r="I126" s="2" t="inlineStr">
        <is>
          <t>A. 4(a^2 + b^2)
B. 2 root(a^2 + b^2)
C. root(a^2 + b^2)
D. 2(a + b)</t>
        </is>
      </c>
      <c r="J126" s="2" t="inlineStr">
        <is>
          <t>2 root(a^2 + b^2)</t>
        </is>
      </c>
      <c r="K126" s="2" t="inlineStr">
        <is>
          <t>The differences are 2a and 2b, so the distance is root(4a^2 + 4b^2) = 2 root(a^2 + b^2).</t>
        </is>
      </c>
      <c r="L126" s="2" t="n">
        <v>2</v>
      </c>
      <c r="M126" s="2" t="inlineStr">
        <is>
          <t>Maths_SecP1X_2026-27.pdf Page 3</t>
        </is>
      </c>
      <c r="N126" s="2" t="inlineStr">
        <is>
          <t>draft / unverified / REVIEW_PENDING</t>
        </is>
      </c>
      <c r="O126" s="3" t="inlineStr"/>
      <c r="P126" s="3" t="inlineStr"/>
      <c r="Q126" s="3" t="inlineStr"/>
      <c r="R126" s="3" t="inlineStr"/>
      <c r="S126" s="3" t="inlineStr"/>
      <c r="T126" s="3" t="inlineStr"/>
      <c r="U126" s="3" t="inlineStr"/>
    </row>
    <row r="127" ht="46" customHeight="1">
      <c r="A127" s="2" t="inlineStr">
        <is>
          <t>C10-2627-MATH-REQ022-REASS-013</t>
        </is>
      </c>
      <c r="B127" s="2" t="inlineStr">
        <is>
          <t>Mathematics</t>
        </is>
      </c>
      <c r="C127" s="2" t="inlineStr">
        <is>
          <t>Coordinate Geometry</t>
        </is>
      </c>
      <c r="D127" s="2" t="inlineStr">
        <is>
          <t>Coordinate Geometry</t>
        </is>
      </c>
      <c r="E127" s="2" t="inlineStr">
        <is>
          <t>REQ_MATH_2026_022, REQ_MATH_2026_023</t>
        </is>
      </c>
      <c r="F127" s="2" t="inlineStr">
        <is>
          <t>LO_M7.1.1 — Derive and apply Distance Formula and Section Formula in Cartesian coordinate space.</t>
        </is>
      </c>
      <c r="G127" s="2" t="inlineStr">
        <is>
          <t>Distance and Section Formulas</t>
        </is>
      </c>
      <c r="H127" s="2" t="inlineStr">
        <is>
          <t>Distances of three points from the origin are to be compared:
| Point | Coordinates |
| A | (8, 15) |
| B | (-12, 5) |
| C | (9, -12) |
List the points in increasing order of their distance from the origin.</t>
        </is>
      </c>
      <c r="I127" s="2" t="inlineStr">
        <is>
          <t>(constructed response)</t>
        </is>
      </c>
      <c r="J127" s="2" t="inlineStr">
        <is>
          <t>B (13), C (15), A (17)</t>
        </is>
      </c>
      <c r="K127" s="2" t="inlineStr">
        <is>
          <t>The distances are root 289 = 17, root 169 = 13 and root 225 = 15 respectively.</t>
        </is>
      </c>
      <c r="L127" s="2" t="n">
        <v>3</v>
      </c>
      <c r="M127" s="2" t="inlineStr">
        <is>
          <t>Maths_SecP1X_2026-27.pdf Page 3</t>
        </is>
      </c>
      <c r="N127" s="2" t="inlineStr">
        <is>
          <t>draft / unverified / REVIEW_PENDING</t>
        </is>
      </c>
      <c r="O127" s="3" t="inlineStr"/>
      <c r="P127" s="3" t="inlineStr"/>
      <c r="Q127" s="3" t="inlineStr"/>
      <c r="R127" s="3" t="inlineStr"/>
      <c r="S127" s="3" t="inlineStr"/>
      <c r="T127" s="3" t="inlineStr"/>
      <c r="U127" s="3" t="inlineStr"/>
    </row>
    <row r="128" ht="46" customHeight="1">
      <c r="A128" s="2" t="inlineStr">
        <is>
          <t>C10-2627-MATH-REQ022-REASS-014</t>
        </is>
      </c>
      <c r="B128" s="2" t="inlineStr">
        <is>
          <t>Mathematics</t>
        </is>
      </c>
      <c r="C128" s="2" t="inlineStr">
        <is>
          <t>Coordinate Geometry</t>
        </is>
      </c>
      <c r="D128" s="2" t="inlineStr">
        <is>
          <t>Coordinate Geometry</t>
        </is>
      </c>
      <c r="E128" s="2" t="inlineStr">
        <is>
          <t>REQ_MATH_2026_022, REQ_MATH_2026_023</t>
        </is>
      </c>
      <c r="F128" s="2" t="inlineStr">
        <is>
          <t>LO_M7.1.1 — Derive and apply Distance Formula and Section Formula in Cartesian coordinate space.</t>
        </is>
      </c>
      <c r="G128" s="2" t="inlineStr">
        <is>
          <t>Distance and Section Formulas</t>
        </is>
      </c>
      <c r="H128" s="2" t="inlineStr">
        <is>
          <t>Three consecutive vertices of a parallelogram are A(-1, 0), B(3, 1) and C(2, 2). Find the fourth vertex D.</t>
        </is>
      </c>
      <c r="I128" s="2" t="inlineStr">
        <is>
          <t>(constructed response)</t>
        </is>
      </c>
      <c r="J128" s="2" t="inlineStr">
        <is>
          <t>(-2, 1)</t>
        </is>
      </c>
      <c r="K128" s="2" t="inlineStr">
        <is>
          <t>Since the diagonals bisect each other, D = A + C - B = (-1 + 2 - 3, 0 + 2 - 1) = (-2, 1).</t>
        </is>
      </c>
      <c r="L128" s="2" t="n">
        <v>4</v>
      </c>
      <c r="M128" s="2" t="inlineStr">
        <is>
          <t>Maths_SecP1X_2026-27.pdf Page 3</t>
        </is>
      </c>
      <c r="N128" s="2" t="inlineStr">
        <is>
          <t>draft / unverified / REVIEW_PENDING</t>
        </is>
      </c>
      <c r="O128" s="3" t="inlineStr"/>
      <c r="P128" s="3" t="inlineStr"/>
      <c r="Q128" s="3" t="inlineStr"/>
      <c r="R128" s="3" t="inlineStr"/>
      <c r="S128" s="3" t="inlineStr"/>
      <c r="T128" s="3" t="inlineStr"/>
      <c r="U128" s="3" t="inlineStr"/>
    </row>
    <row r="129" ht="46" customHeight="1">
      <c r="A129" s="2" t="inlineStr">
        <is>
          <t>C10-2627-MATH-REQ022-REASS-015</t>
        </is>
      </c>
      <c r="B129" s="2" t="inlineStr">
        <is>
          <t>Mathematics</t>
        </is>
      </c>
      <c r="C129" s="2" t="inlineStr">
        <is>
          <t>Coordinate Geometry</t>
        </is>
      </c>
      <c r="D129" s="2" t="inlineStr">
        <is>
          <t>Coordinate Geometry</t>
        </is>
      </c>
      <c r="E129" s="2" t="inlineStr">
        <is>
          <t>REQ_MATH_2026_022, REQ_MATH_2026_023</t>
        </is>
      </c>
      <c r="F129" s="2" t="inlineStr">
        <is>
          <t>LO_M7.1.1 — Derive and apply Distance Formula and Section Formula in Cartesian coordinate space.</t>
        </is>
      </c>
      <c r="G129" s="2" t="inlineStr">
        <is>
          <t>Distance and Section Formulas</t>
        </is>
      </c>
      <c r="H129" s="2" t="inlineStr">
        <is>
          <t>The endpoints of a diameter of a circle are (4, -1) and (-2, 5). Find the centre and the radius.</t>
        </is>
      </c>
      <c r="I129" s="2" t="inlineStr">
        <is>
          <t>(constructed response)</t>
        </is>
      </c>
      <c r="J129" s="2" t="inlineStr">
        <is>
          <t>Centre (1, 2) and radius 3 root 2 units</t>
        </is>
      </c>
      <c r="K129" s="2" t="inlineStr">
        <is>
          <t>The centre is the midpoint (1, 2). The diameter is root(36 + 36) = 6 root 2, so the radius is 3 root 2, about 4.24 units.</t>
        </is>
      </c>
      <c r="L129" s="2" t="n">
        <v>4</v>
      </c>
      <c r="M129" s="2" t="inlineStr">
        <is>
          <t>Maths_SecP1X_2026-27.pdf Page 3</t>
        </is>
      </c>
      <c r="N129" s="2" t="inlineStr">
        <is>
          <t>draft / unverified / REVIEW_PENDING</t>
        </is>
      </c>
      <c r="O129" s="3" t="inlineStr"/>
      <c r="P129" s="3" t="inlineStr"/>
      <c r="Q129" s="3" t="inlineStr"/>
      <c r="R129" s="3" t="inlineStr"/>
      <c r="S129" s="3" t="inlineStr"/>
      <c r="T129" s="3" t="inlineStr"/>
      <c r="U129" s="3" t="inlineStr"/>
    </row>
    <row r="130" ht="46" customHeight="1">
      <c r="A130" s="2" t="inlineStr">
        <is>
          <t>C10-2627-MATH-REQ022-REASS-016</t>
        </is>
      </c>
      <c r="B130" s="2" t="inlineStr">
        <is>
          <t>Mathematics</t>
        </is>
      </c>
      <c r="C130" s="2" t="inlineStr">
        <is>
          <t>Coordinate Geometry</t>
        </is>
      </c>
      <c r="D130" s="2" t="inlineStr">
        <is>
          <t>Coordinate Geometry</t>
        </is>
      </c>
      <c r="E130" s="2" t="inlineStr">
        <is>
          <t>REQ_MATH_2026_022, REQ_MATH_2026_023</t>
        </is>
      </c>
      <c r="F130" s="2" t="inlineStr">
        <is>
          <t>LO_M7.1.1 — Derive and apply Distance Formula and Section Formula in Cartesian coordinate space.</t>
        </is>
      </c>
      <c r="G130" s="2" t="inlineStr">
        <is>
          <t>Distance and Section Formulas</t>
        </is>
      </c>
      <c r="H130" s="2" t="inlineStr">
        <is>
          <t>A warehouse at W(0, 0) supplies two stores on a delivery grid where one unit is one kilometre. Store P is at (9, 12) and store Q is at (-8, 6). A van visits P first, returns to the warehouse, and then goes to Q.
Find the total distance travelled by the van.</t>
        </is>
      </c>
      <c r="I130" s="2" t="inlineStr">
        <is>
          <t>(constructed response)</t>
        </is>
      </c>
      <c r="J130" s="2" t="inlineStr">
        <is>
          <t>40 km</t>
        </is>
      </c>
      <c r="K130" s="2" t="inlineStr">
        <is>
          <t>W to P and back is 2 x 15 = 30 km, and W to Q is root(64 + 36) = 10 km, giving 40 km in all.</t>
        </is>
      </c>
      <c r="L130" s="2" t="n">
        <v>4</v>
      </c>
      <c r="M130" s="2" t="inlineStr">
        <is>
          <t>Maths_SecP1X_2026-27.pdf Page 3</t>
        </is>
      </c>
      <c r="N130" s="2" t="inlineStr">
        <is>
          <t>draft / unverified / REVIEW_PENDING</t>
        </is>
      </c>
      <c r="O130" s="3" t="inlineStr"/>
      <c r="P130" s="3" t="inlineStr"/>
      <c r="Q130" s="3" t="inlineStr"/>
      <c r="R130" s="3" t="inlineStr"/>
      <c r="S130" s="3" t="inlineStr"/>
      <c r="T130" s="3" t="inlineStr"/>
      <c r="U130" s="3" t="inlineStr"/>
    </row>
    <row r="131" ht="46" customHeight="1">
      <c r="A131" s="2" t="inlineStr">
        <is>
          <t>C10-2627-MATH-REQ022-REASS-017</t>
        </is>
      </c>
      <c r="B131" s="2" t="inlineStr">
        <is>
          <t>Mathematics</t>
        </is>
      </c>
      <c r="C131" s="2" t="inlineStr">
        <is>
          <t>Coordinate Geometry</t>
        </is>
      </c>
      <c r="D131" s="2" t="inlineStr">
        <is>
          <t>Coordinate Geometry</t>
        </is>
      </c>
      <c r="E131" s="2" t="inlineStr">
        <is>
          <t>REQ_MATH_2026_022, REQ_MATH_2026_023</t>
        </is>
      </c>
      <c r="F131" s="2" t="inlineStr">
        <is>
          <t>LO_M7.1.1 — Derive and apply Distance Formula and Section Formula in Cartesian coordinate space.</t>
        </is>
      </c>
      <c r="G131" s="2" t="inlineStr">
        <is>
          <t>Distance and Section Formulas</t>
        </is>
      </c>
      <c r="H131" s="2" t="inlineStr">
        <is>
          <t>State whether the following is true or false, and justify in one line: The points (1, 2), (3, 6) and (5, 10) lie on a single straight line.</t>
        </is>
      </c>
      <c r="I131" s="2" t="inlineStr">
        <is>
          <t>A. True
B. False</t>
        </is>
      </c>
      <c r="J131" s="2" t="inlineStr">
        <is>
          <t>True</t>
        </is>
      </c>
      <c r="K131" s="2" t="inlineStr">
        <is>
          <t>AB = root 20, BC = root 20 and AC = root 80 = 2 root 20, so AB + BC = AC and the points are collinear.</t>
        </is>
      </c>
      <c r="L131" s="2" t="n">
        <v>2</v>
      </c>
      <c r="M131" s="2" t="inlineStr">
        <is>
          <t>Maths_SecP1X_2026-27.pdf Page 3</t>
        </is>
      </c>
      <c r="N131" s="2" t="inlineStr">
        <is>
          <t>draft / unverified / REVIEW_PENDING</t>
        </is>
      </c>
      <c r="O131" s="3" t="inlineStr"/>
      <c r="P131" s="3" t="inlineStr"/>
      <c r="Q131" s="3" t="inlineStr"/>
      <c r="R131" s="3" t="inlineStr"/>
      <c r="S131" s="3" t="inlineStr"/>
      <c r="T131" s="3" t="inlineStr"/>
      <c r="U131" s="3" t="inlineStr"/>
    </row>
    <row r="132" ht="46" customHeight="1">
      <c r="A132" s="2" t="inlineStr">
        <is>
          <t>C10-2627-MATH-REQ022-REASS-018</t>
        </is>
      </c>
      <c r="B132" s="2" t="inlineStr">
        <is>
          <t>Mathematics</t>
        </is>
      </c>
      <c r="C132" s="2" t="inlineStr">
        <is>
          <t>Coordinate Geometry</t>
        </is>
      </c>
      <c r="D132" s="2" t="inlineStr">
        <is>
          <t>Coordinate Geometry</t>
        </is>
      </c>
      <c r="E132" s="2" t="inlineStr">
        <is>
          <t>REQ_MATH_2026_022, REQ_MATH_2026_023</t>
        </is>
      </c>
      <c r="F132" s="2" t="inlineStr">
        <is>
          <t>LO_M7.1.1 — Derive and apply Distance Formula and Section Formula in Cartesian coordinate space.</t>
        </is>
      </c>
      <c r="G132" s="2" t="inlineStr">
        <is>
          <t>Distance and Section Formulas</t>
        </is>
      </c>
      <c r="H132" s="2" t="inlineStr">
        <is>
          <t>Find the perimeter of the triangle whose vertices are (0, 0), (6, 0) and (0, 8).</t>
        </is>
      </c>
      <c r="I132" s="2" t="inlineStr">
        <is>
          <t>(constructed response)</t>
        </is>
      </c>
      <c r="J132" s="2" t="inlineStr">
        <is>
          <t>24 units</t>
        </is>
      </c>
      <c r="K132" s="2" t="inlineStr">
        <is>
          <t>The legs are 6 and 8 and the hypotenuse is root(36 + 64) = 10, so the perimeter is 24 units.</t>
        </is>
      </c>
      <c r="L132" s="2" t="n">
        <v>2</v>
      </c>
      <c r="M132" s="2" t="inlineStr">
        <is>
          <t>Maths_SecP1X_2026-27.pdf Page 3</t>
        </is>
      </c>
      <c r="N132" s="2" t="inlineStr">
        <is>
          <t>draft / unverified / REVIEW_PENDING</t>
        </is>
      </c>
      <c r="O132" s="3" t="inlineStr"/>
      <c r="P132" s="3" t="inlineStr"/>
      <c r="Q132" s="3" t="inlineStr"/>
      <c r="R132" s="3" t="inlineStr"/>
      <c r="S132" s="3" t="inlineStr"/>
      <c r="T132" s="3" t="inlineStr"/>
      <c r="U132" s="3" t="inlineStr"/>
    </row>
    <row r="133" ht="46" customHeight="1">
      <c r="A133" s="2" t="inlineStr">
        <is>
          <t>C10-2627-MATH-REQ022-REASS-019</t>
        </is>
      </c>
      <c r="B133" s="2" t="inlineStr">
        <is>
          <t>Mathematics</t>
        </is>
      </c>
      <c r="C133" s="2" t="inlineStr">
        <is>
          <t>Coordinate Geometry</t>
        </is>
      </c>
      <c r="D133" s="2" t="inlineStr">
        <is>
          <t>Coordinate Geometry</t>
        </is>
      </c>
      <c r="E133" s="2" t="inlineStr">
        <is>
          <t>REQ_MATH_2026_022, REQ_MATH_2026_023</t>
        </is>
      </c>
      <c r="F133" s="2" t="inlineStr">
        <is>
          <t>LO_M7.1.1 — Derive and apply Distance Formula and Section Formula in Cartesian coordinate space.</t>
        </is>
      </c>
      <c r="G133" s="2" t="inlineStr">
        <is>
          <t>Distance and Section Formulas</t>
        </is>
      </c>
      <c r="H133" s="2" t="inlineStr">
        <is>
          <t>Which of the following points is equidistant from (0, 0) and (6, 0)?</t>
        </is>
      </c>
      <c r="I133" s="2" t="inlineStr">
        <is>
          <t>A. (6, 5)
B. (0, 5)
C. (3, 5)
D. (2, 5)</t>
        </is>
      </c>
      <c r="J133" s="2" t="inlineStr">
        <is>
          <t>(3, 5)</t>
        </is>
      </c>
      <c r="K133" s="2" t="inlineStr">
        <is>
          <t>A point equidistant from the two ends lies on the perpendicular bisector x = 3, and only (3, 5) satisfies this.</t>
        </is>
      </c>
      <c r="L133" s="2" t="n">
        <v>2</v>
      </c>
      <c r="M133" s="2" t="inlineStr">
        <is>
          <t>Maths_SecP1X_2026-27.pdf Page 3</t>
        </is>
      </c>
      <c r="N133" s="2" t="inlineStr">
        <is>
          <t>draft / unverified / REVIEW_PENDING</t>
        </is>
      </c>
      <c r="O133" s="3" t="inlineStr"/>
      <c r="P133" s="3" t="inlineStr"/>
      <c r="Q133" s="3" t="inlineStr"/>
      <c r="R133" s="3" t="inlineStr"/>
      <c r="S133" s="3" t="inlineStr"/>
      <c r="T133" s="3" t="inlineStr"/>
      <c r="U133" s="3" t="inlineStr"/>
    </row>
    <row r="134" ht="46" customHeight="1">
      <c r="A134" s="2" t="inlineStr">
        <is>
          <t>C10-2627-MATH-REQ022-REASS-020</t>
        </is>
      </c>
      <c r="B134" s="2" t="inlineStr">
        <is>
          <t>Mathematics</t>
        </is>
      </c>
      <c r="C134" s="2" t="inlineStr">
        <is>
          <t>Coordinate Geometry</t>
        </is>
      </c>
      <c r="D134" s="2" t="inlineStr">
        <is>
          <t>Coordinate Geometry</t>
        </is>
      </c>
      <c r="E134" s="2" t="inlineStr">
        <is>
          <t>REQ_MATH_2026_022, REQ_MATH_2026_023</t>
        </is>
      </c>
      <c r="F134" s="2" t="inlineStr">
        <is>
          <t>LO_M7.1.1 — Derive and apply Distance Formula and Section Formula in Cartesian coordinate space.</t>
        </is>
      </c>
      <c r="G134" s="2" t="inlineStr">
        <is>
          <t>Distance and Section Formulas</t>
        </is>
      </c>
      <c r="H134" s="2" t="inlineStr">
        <is>
          <t>The distance between (k, 3) and (2, 3) is 5 units. Find the values of k.</t>
        </is>
      </c>
      <c r="I134" s="2" t="inlineStr">
        <is>
          <t>(constructed response)</t>
        </is>
      </c>
      <c r="J134" s="2" t="inlineStr">
        <is>
          <t>k = 7 or k = -3</t>
        </is>
      </c>
      <c r="K134" s="2" t="inlineStr">
        <is>
          <t>Since the y-coordinates match, |k - 2| = 5, so k = 7 or k = -3.</t>
        </is>
      </c>
      <c r="L134" s="2" t="n">
        <v>3</v>
      </c>
      <c r="M134" s="2" t="inlineStr">
        <is>
          <t>Maths_SecP1X_2026-27.pdf Page 3</t>
        </is>
      </c>
      <c r="N134" s="2" t="inlineStr">
        <is>
          <t>draft / unverified / REVIEW_PENDING</t>
        </is>
      </c>
      <c r="O134" s="3" t="inlineStr"/>
      <c r="P134" s="3" t="inlineStr"/>
      <c r="Q134" s="3" t="inlineStr"/>
      <c r="R134" s="3" t="inlineStr"/>
      <c r="S134" s="3" t="inlineStr"/>
      <c r="T134" s="3" t="inlineStr"/>
      <c r="U134" s="3" t="inlineStr"/>
    </row>
    <row r="135" ht="46" customHeight="1">
      <c r="A135" s="2" t="inlineStr">
        <is>
          <t>C10-2627-MATH-REQ029-DIAG-001</t>
        </is>
      </c>
      <c r="B135" s="2" t="inlineStr">
        <is>
          <t>Mathematics</t>
        </is>
      </c>
      <c r="C135" s="2" t="inlineStr">
        <is>
          <t>Trigonometry</t>
        </is>
      </c>
      <c r="D135" s="2" t="inlineStr">
        <is>
          <t>Introduction to Trigonometry</t>
        </is>
      </c>
      <c r="E135" s="2" t="inlineStr">
        <is>
          <t>REQ_MATH_2026_029, REQ_MATH_2026_030, REQ_MATH_2026_031</t>
        </is>
      </c>
      <c r="F135" s="2" t="inlineStr">
        <is>
          <t>LO_M8.1.1 — Define trigonometric ratios for acute angles and evaluate expression using standard values and fundamental trigonometric identity sin^2 A + cos^2 A = 1.</t>
        </is>
      </c>
      <c r="G135" s="2" t="inlineStr">
        <is>
          <t>Trigonometric Ratios and Identities</t>
        </is>
      </c>
      <c r="H135" s="2" t="inlineStr">
        <is>
          <t>In a right triangle, sin A = 3/5. Find cos A and tan A.</t>
        </is>
      </c>
      <c r="I135" s="2" t="inlineStr">
        <is>
          <t>(constructed response)</t>
        </is>
      </c>
      <c r="J135" s="2" t="inlineStr">
        <is>
          <t>cos A = 4/5 and tan A = 3/4</t>
        </is>
      </c>
      <c r="K135" s="2" t="inlineStr">
        <is>
          <t>Using sin^2 A + cos^2 A = 1, cos^2 A = 1 - 9/25 = 16/25, so cos A = 4/5 for an acute angle, and tan A = sin A / cos A = 3/4.</t>
        </is>
      </c>
      <c r="L135" s="2" t="n">
        <v>2</v>
      </c>
      <c r="M135" s="2" t="inlineStr">
        <is>
          <t>Maths_SecP1X_2026-27.pdf Page 4</t>
        </is>
      </c>
      <c r="N135" s="2" t="inlineStr">
        <is>
          <t>draft / unverified / REVIEW_PENDING</t>
        </is>
      </c>
      <c r="O135" s="3" t="inlineStr"/>
      <c r="P135" s="3" t="inlineStr"/>
      <c r="Q135" s="3" t="inlineStr"/>
      <c r="R135" s="3" t="inlineStr"/>
      <c r="S135" s="3" t="inlineStr"/>
      <c r="T135" s="3" t="inlineStr"/>
      <c r="U135" s="3" t="inlineStr"/>
    </row>
    <row r="136" ht="46" customHeight="1">
      <c r="A136" s="2" t="inlineStr">
        <is>
          <t>C10-2627-MATH-REQ029-DIAG-002</t>
        </is>
      </c>
      <c r="B136" s="2" t="inlineStr">
        <is>
          <t>Mathematics</t>
        </is>
      </c>
      <c r="C136" s="2" t="inlineStr">
        <is>
          <t>Trigonometry</t>
        </is>
      </c>
      <c r="D136" s="2" t="inlineStr">
        <is>
          <t>Introduction to Trigonometry</t>
        </is>
      </c>
      <c r="E136" s="2" t="inlineStr">
        <is>
          <t>REQ_MATH_2026_029, REQ_MATH_2026_030, REQ_MATH_2026_031</t>
        </is>
      </c>
      <c r="F136" s="2" t="inlineStr">
        <is>
          <t>LO_M8.1.1 — Define trigonometric ratios for acute angles and evaluate expression using standard values and fundamental trigonometric identity sin^2 A + cos^2 A = 1.</t>
        </is>
      </c>
      <c r="G136" s="2" t="inlineStr">
        <is>
          <t>Trigonometric Ratios and Identities</t>
        </is>
      </c>
      <c r="H136" s="2" t="inlineStr">
        <is>
          <t>The value of sin 30 degrees + cos 60 degrees is</t>
        </is>
      </c>
      <c r="I136" s="2" t="inlineStr">
        <is>
          <t>A. 0
B. 1
C. 1/2
D. root 3 / 2</t>
        </is>
      </c>
      <c r="J136" s="2" t="inlineStr">
        <is>
          <t>1</t>
        </is>
      </c>
      <c r="K136" s="2" t="inlineStr">
        <is>
          <t>sin 30 degrees = 1/2 and cos 60 degrees = 1/2, so the sum is 1.</t>
        </is>
      </c>
      <c r="L136" s="2" t="n">
        <v>1</v>
      </c>
      <c r="M136" s="2" t="inlineStr">
        <is>
          <t>Maths_SecP1X_2026-27.pdf Page 4</t>
        </is>
      </c>
      <c r="N136" s="2" t="inlineStr">
        <is>
          <t>draft / unverified / REVIEW_PENDING</t>
        </is>
      </c>
      <c r="O136" s="3" t="inlineStr"/>
      <c r="P136" s="3" t="inlineStr"/>
      <c r="Q136" s="3" t="inlineStr"/>
      <c r="R136" s="3" t="inlineStr"/>
      <c r="S136" s="3" t="inlineStr"/>
      <c r="T136" s="3" t="inlineStr"/>
      <c r="U136" s="3" t="inlineStr"/>
    </row>
    <row r="137" ht="46" customHeight="1">
      <c r="A137" s="2" t="inlineStr">
        <is>
          <t>C10-2627-MATH-REQ029-DIAG-003</t>
        </is>
      </c>
      <c r="B137" s="2" t="inlineStr">
        <is>
          <t>Mathematics</t>
        </is>
      </c>
      <c r="C137" s="2" t="inlineStr">
        <is>
          <t>Trigonometry</t>
        </is>
      </c>
      <c r="D137" s="2" t="inlineStr">
        <is>
          <t>Introduction to Trigonometry</t>
        </is>
      </c>
      <c r="E137" s="2" t="inlineStr">
        <is>
          <t>REQ_MATH_2026_029, REQ_MATH_2026_030, REQ_MATH_2026_031</t>
        </is>
      </c>
      <c r="F137" s="2" t="inlineStr">
        <is>
          <t>LO_M8.1.1 — Define trigonometric ratios for acute angles and evaluate expression using standard values and fundamental trigonometric identity sin^2 A + cos^2 A = 1.</t>
        </is>
      </c>
      <c r="G137" s="2" t="inlineStr">
        <is>
          <t>Trigonometric Ratios and Identities</t>
        </is>
      </c>
      <c r="H137" s="2" t="inlineStr">
        <is>
          <t>Evaluate sin^2 30 degrees + cos^2 30 degrees without using tables.</t>
        </is>
      </c>
      <c r="I137" s="2" t="inlineStr">
        <is>
          <t>(constructed response)</t>
        </is>
      </c>
      <c r="J137" s="2" t="inlineStr">
        <is>
          <t>1</t>
        </is>
      </c>
      <c r="K137" s="2" t="inlineStr">
        <is>
          <t>For any angle A the identity sin^2 A + cos^2 A = 1 holds, so the value is 1; directly, 1/4 + 3/4 = 1.</t>
        </is>
      </c>
      <c r="L137" s="2" t="n">
        <v>2</v>
      </c>
      <c r="M137" s="2" t="inlineStr">
        <is>
          <t>Maths_SecP1X_2026-27.pdf Page 4</t>
        </is>
      </c>
      <c r="N137" s="2" t="inlineStr">
        <is>
          <t>draft / unverified / REVIEW_PENDING</t>
        </is>
      </c>
      <c r="O137" s="3" t="inlineStr"/>
      <c r="P137" s="3" t="inlineStr"/>
      <c r="Q137" s="3" t="inlineStr"/>
      <c r="R137" s="3" t="inlineStr"/>
      <c r="S137" s="3" t="inlineStr"/>
      <c r="T137" s="3" t="inlineStr"/>
      <c r="U137" s="3" t="inlineStr"/>
    </row>
    <row r="138" ht="46" customHeight="1">
      <c r="A138" s="2" t="inlineStr">
        <is>
          <t>C10-2627-MATH-REQ029-DIAG-004</t>
        </is>
      </c>
      <c r="B138" s="2" t="inlineStr">
        <is>
          <t>Mathematics</t>
        </is>
      </c>
      <c r="C138" s="2" t="inlineStr">
        <is>
          <t>Trigonometry</t>
        </is>
      </c>
      <c r="D138" s="2" t="inlineStr">
        <is>
          <t>Introduction to Trigonometry</t>
        </is>
      </c>
      <c r="E138" s="2" t="inlineStr">
        <is>
          <t>REQ_MATH_2026_029, REQ_MATH_2026_030, REQ_MATH_2026_031</t>
        </is>
      </c>
      <c r="F138" s="2" t="inlineStr">
        <is>
          <t>LO_M8.1.1 — Define trigonometric ratios for acute angles and evaluate expression using standard values and fundamental trigonometric identity sin^2 A + cos^2 A = 1.</t>
        </is>
      </c>
      <c r="G138" s="2" t="inlineStr">
        <is>
          <t>Trigonometric Ratios and Identities</t>
        </is>
      </c>
      <c r="H138" s="2" t="inlineStr">
        <is>
          <t>If tan A = 1 and A is acute, find the measure of A.</t>
        </is>
      </c>
      <c r="I138" s="2" t="inlineStr">
        <is>
          <t>(constructed response)</t>
        </is>
      </c>
      <c r="J138" s="2" t="inlineStr">
        <is>
          <t>45 degrees</t>
        </is>
      </c>
      <c r="K138" s="2" t="inlineStr">
        <is>
          <t>tan 45 degrees = 1 and the tangent is strictly increasing on acute angles, so A = 45 degrees.</t>
        </is>
      </c>
      <c r="L138" s="2" t="n">
        <v>2</v>
      </c>
      <c r="M138" s="2" t="inlineStr">
        <is>
          <t>Maths_SecP1X_2026-27.pdf Page 4</t>
        </is>
      </c>
      <c r="N138" s="2" t="inlineStr">
        <is>
          <t>draft / unverified / REVIEW_PENDING</t>
        </is>
      </c>
      <c r="O138" s="3" t="inlineStr"/>
      <c r="P138" s="3" t="inlineStr"/>
      <c r="Q138" s="3" t="inlineStr"/>
      <c r="R138" s="3" t="inlineStr"/>
      <c r="S138" s="3" t="inlineStr"/>
      <c r="T138" s="3" t="inlineStr"/>
      <c r="U138" s="3" t="inlineStr"/>
    </row>
    <row r="139" ht="46" customHeight="1">
      <c r="A139" s="2" t="inlineStr">
        <is>
          <t>C10-2627-MATH-REQ029-DIAG-005</t>
        </is>
      </c>
      <c r="B139" s="2" t="inlineStr">
        <is>
          <t>Mathematics</t>
        </is>
      </c>
      <c r="C139" s="2" t="inlineStr">
        <is>
          <t>Trigonometry</t>
        </is>
      </c>
      <c r="D139" s="2" t="inlineStr">
        <is>
          <t>Introduction to Trigonometry</t>
        </is>
      </c>
      <c r="E139" s="2" t="inlineStr">
        <is>
          <t>REQ_MATH_2026_029, REQ_MATH_2026_030, REQ_MATH_2026_031</t>
        </is>
      </c>
      <c r="F139" s="2" t="inlineStr">
        <is>
          <t>LO_M8.1.1 — Define trigonometric ratios for acute angles and evaluate expression using standard values and fundamental trigonometric identity sin^2 A + cos^2 A = 1.</t>
        </is>
      </c>
      <c r="G139" s="2" t="inlineStr">
        <is>
          <t>Trigonometric Ratios and Identities</t>
        </is>
      </c>
      <c r="H139" s="2" t="inlineStr">
        <is>
          <t>If tan A = root 3, find sec A for an acute angle A.</t>
        </is>
      </c>
      <c r="I139" s="2" t="inlineStr">
        <is>
          <t>(constructed response)</t>
        </is>
      </c>
      <c r="J139" s="2" t="inlineStr">
        <is>
          <t>2</t>
        </is>
      </c>
      <c r="K139" s="2" t="inlineStr">
        <is>
          <t>Using sec^2 A = 1 + tan^2 A = 1 + 3 = 4, and sec A is positive for an acute angle, so sec A = 2.</t>
        </is>
      </c>
      <c r="L139" s="2" t="n">
        <v>3</v>
      </c>
      <c r="M139" s="2" t="inlineStr">
        <is>
          <t>Maths_SecP1X_2026-27.pdf Page 4</t>
        </is>
      </c>
      <c r="N139" s="2" t="inlineStr">
        <is>
          <t>draft / unverified / REVIEW_PENDING</t>
        </is>
      </c>
      <c r="O139" s="3" t="inlineStr"/>
      <c r="P139" s="3" t="inlineStr"/>
      <c r="Q139" s="3" t="inlineStr"/>
      <c r="R139" s="3" t="inlineStr"/>
      <c r="S139" s="3" t="inlineStr"/>
      <c r="T139" s="3" t="inlineStr"/>
      <c r="U139" s="3" t="inlineStr"/>
    </row>
    <row r="140" ht="46" customHeight="1">
      <c r="A140" s="2" t="inlineStr">
        <is>
          <t>C10-2627-MATH-REQ029-DIAG-006</t>
        </is>
      </c>
      <c r="B140" s="2" t="inlineStr">
        <is>
          <t>Mathematics</t>
        </is>
      </c>
      <c r="C140" s="2" t="inlineStr">
        <is>
          <t>Trigonometry</t>
        </is>
      </c>
      <c r="D140" s="2" t="inlineStr">
        <is>
          <t>Introduction to Trigonometry</t>
        </is>
      </c>
      <c r="E140" s="2" t="inlineStr">
        <is>
          <t>REQ_MATH_2026_029, REQ_MATH_2026_030, REQ_MATH_2026_031</t>
        </is>
      </c>
      <c r="F140" s="2" t="inlineStr">
        <is>
          <t>LO_M8.1.1 — Define trigonometric ratios for acute angles and evaluate expression using standard values and fundamental trigonometric identity sin^2 A + cos^2 A = 1.</t>
        </is>
      </c>
      <c r="G140" s="2" t="inlineStr">
        <is>
          <t>Trigonometric Ratios and Identities</t>
        </is>
      </c>
      <c r="H140" s="2" t="inlineStr">
        <is>
          <t>Assertion (A): sin^2 A + cos^2 A = 1 holds for every acute angle A.
Reason (R): The identity follows from the Pythagoras theorem applied to a right triangle containing the angle A.
Choose the correct option.</t>
        </is>
      </c>
      <c r="I140" s="2" t="inlineStr">
        <is>
          <t>A. Both A and R are true and R is the correct explanation of A.
B. Both A and R are true but R is not the correct explanation of A.
C. A is true but R is false.
D. A is false but R is true.</t>
        </is>
      </c>
      <c r="J140" s="2" t="inlineStr">
        <is>
          <t>Both A and R are true and R is the correct explanation of A.</t>
        </is>
      </c>
      <c r="K140" s="2" t="inlineStr">
        <is>
          <t>Dividing the relation base^2 + perpendicular^2 = hypotenuse^2 by the square of the hypotenuse gives exactly the identity.</t>
        </is>
      </c>
      <c r="L140" s="2" t="n">
        <v>2</v>
      </c>
      <c r="M140" s="2" t="inlineStr">
        <is>
          <t>Maths_SecP1X_2026-27.pdf Page 4</t>
        </is>
      </c>
      <c r="N140" s="2" t="inlineStr">
        <is>
          <t>draft / unverified / REVIEW_PENDING</t>
        </is>
      </c>
      <c r="O140" s="3" t="inlineStr"/>
      <c r="P140" s="3" t="inlineStr"/>
      <c r="Q140" s="3" t="inlineStr"/>
      <c r="R140" s="3" t="inlineStr"/>
      <c r="S140" s="3" t="inlineStr"/>
      <c r="T140" s="3" t="inlineStr"/>
      <c r="U140" s="3" t="inlineStr"/>
    </row>
    <row r="141" ht="46" customHeight="1">
      <c r="A141" s="2" t="inlineStr">
        <is>
          <t>C10-2627-MATH-REQ029-DIAG-007</t>
        </is>
      </c>
      <c r="B141" s="2" t="inlineStr">
        <is>
          <t>Mathematics</t>
        </is>
      </c>
      <c r="C141" s="2" t="inlineStr">
        <is>
          <t>Trigonometry</t>
        </is>
      </c>
      <c r="D141" s="2" t="inlineStr">
        <is>
          <t>Introduction to Trigonometry</t>
        </is>
      </c>
      <c r="E141" s="2" t="inlineStr">
        <is>
          <t>REQ_MATH_2026_029, REQ_MATH_2026_030, REQ_MATH_2026_031</t>
        </is>
      </c>
      <c r="F141" s="2" t="inlineStr">
        <is>
          <t>LO_M8.1.1 — Define trigonometric ratios for acute angles and evaluate expression using standard values and fundamental trigonometric identity sin^2 A + cos^2 A = 1.</t>
        </is>
      </c>
      <c r="G141" s="2" t="inlineStr">
        <is>
          <t>Trigonometric Ratios and Identities</t>
        </is>
      </c>
      <c r="H141" s="2" t="inlineStr">
        <is>
          <t>State whether the following is true or false, and justify in one line: The value of sin A can be greater than 1 for an acute angle A.</t>
        </is>
      </c>
      <c r="I141" s="2" t="inlineStr">
        <is>
          <t>A. True
B. False</t>
        </is>
      </c>
      <c r="J141" s="2" t="inlineStr">
        <is>
          <t>False</t>
        </is>
      </c>
      <c r="K141" s="2" t="inlineStr">
        <is>
          <t>sin A is the ratio of the perpendicular to the hypotenuse, and the hypotenuse is the longest side, so sin A is at most 1.</t>
        </is>
      </c>
      <c r="L141" s="2" t="n">
        <v>1</v>
      </c>
      <c r="M141" s="2" t="inlineStr">
        <is>
          <t>Maths_SecP1X_2026-27.pdf Page 4</t>
        </is>
      </c>
      <c r="N141" s="2" t="inlineStr">
        <is>
          <t>draft / unverified / REVIEW_PENDING</t>
        </is>
      </c>
      <c r="O141" s="3" t="inlineStr"/>
      <c r="P141" s="3" t="inlineStr"/>
      <c r="Q141" s="3" t="inlineStr"/>
      <c r="R141" s="3" t="inlineStr"/>
      <c r="S141" s="3" t="inlineStr"/>
      <c r="T141" s="3" t="inlineStr"/>
      <c r="U141" s="3" t="inlineStr"/>
    </row>
    <row r="142" ht="46" customHeight="1">
      <c r="A142" s="2" t="inlineStr">
        <is>
          <t>C10-2627-MATH-REQ029-REASS-001</t>
        </is>
      </c>
      <c r="B142" s="2" t="inlineStr">
        <is>
          <t>Mathematics</t>
        </is>
      </c>
      <c r="C142" s="2" t="inlineStr">
        <is>
          <t>Trigonometry</t>
        </is>
      </c>
      <c r="D142" s="2" t="inlineStr">
        <is>
          <t>Introduction to Trigonometry</t>
        </is>
      </c>
      <c r="E142" s="2" t="inlineStr">
        <is>
          <t>REQ_MATH_2026_029, REQ_MATH_2026_030, REQ_MATH_2026_031</t>
        </is>
      </c>
      <c r="F142" s="2" t="inlineStr">
        <is>
          <t>LO_M8.1.1 — Define trigonometric ratios for acute angles and evaluate expression using standard values and fundamental trigonometric identity sin^2 A + cos^2 A = 1.</t>
        </is>
      </c>
      <c r="G142" s="2" t="inlineStr">
        <is>
          <t>Trigonometric Ratios and Identities</t>
        </is>
      </c>
      <c r="H142" s="2" t="inlineStr">
        <is>
          <t>In a right triangle, cos A = 12/13. Find sin A and tan A.</t>
        </is>
      </c>
      <c r="I142" s="2" t="inlineStr">
        <is>
          <t>(constructed response)</t>
        </is>
      </c>
      <c r="J142" s="2" t="inlineStr">
        <is>
          <t>sin A = 5/13 and tan A = 5/12</t>
        </is>
      </c>
      <c r="K142" s="2" t="inlineStr">
        <is>
          <t>sin^2 A = 1 - 144/169 = 25/169, so sin A = 5/13 and tan A = (5/13) / (12/13) = 5/12.</t>
        </is>
      </c>
      <c r="L142" s="2" t="n">
        <v>2</v>
      </c>
      <c r="M142" s="2" t="inlineStr">
        <is>
          <t>Maths_SecP1X_2026-27.pdf Page 4</t>
        </is>
      </c>
      <c r="N142" s="2" t="inlineStr">
        <is>
          <t>draft / unverified / REVIEW_PENDING</t>
        </is>
      </c>
      <c r="O142" s="3" t="inlineStr"/>
      <c r="P142" s="3" t="inlineStr"/>
      <c r="Q142" s="3" t="inlineStr"/>
      <c r="R142" s="3" t="inlineStr"/>
      <c r="S142" s="3" t="inlineStr"/>
      <c r="T142" s="3" t="inlineStr"/>
      <c r="U142" s="3" t="inlineStr"/>
    </row>
    <row r="143" ht="46" customHeight="1">
      <c r="A143" s="2" t="inlineStr">
        <is>
          <t>C10-2627-MATH-REQ029-REASS-002</t>
        </is>
      </c>
      <c r="B143" s="2" t="inlineStr">
        <is>
          <t>Mathematics</t>
        </is>
      </c>
      <c r="C143" s="2" t="inlineStr">
        <is>
          <t>Trigonometry</t>
        </is>
      </c>
      <c r="D143" s="2" t="inlineStr">
        <is>
          <t>Introduction to Trigonometry</t>
        </is>
      </c>
      <c r="E143" s="2" t="inlineStr">
        <is>
          <t>REQ_MATH_2026_029, REQ_MATH_2026_030, REQ_MATH_2026_031</t>
        </is>
      </c>
      <c r="F143" s="2" t="inlineStr">
        <is>
          <t>LO_M8.1.1 — Define trigonometric ratios for acute angles and evaluate expression using standard values and fundamental trigonometric identity sin^2 A + cos^2 A = 1.</t>
        </is>
      </c>
      <c r="G143" s="2" t="inlineStr">
        <is>
          <t>Trigonometric Ratios and Identities</t>
        </is>
      </c>
      <c r="H143" s="2" t="inlineStr">
        <is>
          <t>The value of tan 45 degrees + cot 45 degrees is</t>
        </is>
      </c>
      <c r="I143" s="2" t="inlineStr">
        <is>
          <t>A. 0
B. root 2
C. 2
D. 1</t>
        </is>
      </c>
      <c r="J143" s="2" t="inlineStr">
        <is>
          <t>2</t>
        </is>
      </c>
      <c r="K143" s="2" t="inlineStr">
        <is>
          <t>Both tan 45 degrees and cot 45 degrees equal 1, so the sum is 2.</t>
        </is>
      </c>
      <c r="L143" s="2" t="n">
        <v>1</v>
      </c>
      <c r="M143" s="2" t="inlineStr">
        <is>
          <t>Maths_SecP1X_2026-27.pdf Page 4</t>
        </is>
      </c>
      <c r="N143" s="2" t="inlineStr">
        <is>
          <t>draft / unverified / REVIEW_PENDING</t>
        </is>
      </c>
      <c r="O143" s="3" t="inlineStr"/>
      <c r="P143" s="3" t="inlineStr"/>
      <c r="Q143" s="3" t="inlineStr"/>
      <c r="R143" s="3" t="inlineStr"/>
      <c r="S143" s="3" t="inlineStr"/>
      <c r="T143" s="3" t="inlineStr"/>
      <c r="U143" s="3" t="inlineStr"/>
    </row>
    <row r="144" ht="46" customHeight="1">
      <c r="A144" s="2" t="inlineStr">
        <is>
          <t>C10-2627-MATH-REQ029-REASS-003</t>
        </is>
      </c>
      <c r="B144" s="2" t="inlineStr">
        <is>
          <t>Mathematics</t>
        </is>
      </c>
      <c r="C144" s="2" t="inlineStr">
        <is>
          <t>Trigonometry</t>
        </is>
      </c>
      <c r="D144" s="2" t="inlineStr">
        <is>
          <t>Introduction to Trigonometry</t>
        </is>
      </c>
      <c r="E144" s="2" t="inlineStr">
        <is>
          <t>REQ_MATH_2026_029, REQ_MATH_2026_030, REQ_MATH_2026_031</t>
        </is>
      </c>
      <c r="F144" s="2" t="inlineStr">
        <is>
          <t>LO_M8.1.1 — Define trigonometric ratios for acute angles and evaluate expression using standard values and fundamental trigonometric identity sin^2 A + cos^2 A = 1.</t>
        </is>
      </c>
      <c r="G144" s="2" t="inlineStr">
        <is>
          <t>Trigonometric Ratios and Identities</t>
        </is>
      </c>
      <c r="H144" s="2" t="inlineStr">
        <is>
          <t>Evaluate 2 x sin 30 degrees x cos 60 degrees.</t>
        </is>
      </c>
      <c r="I144" s="2" t="inlineStr">
        <is>
          <t>(constructed response)</t>
        </is>
      </c>
      <c r="J144" s="2" t="inlineStr">
        <is>
          <t>0.5</t>
        </is>
      </c>
      <c r="K144" s="2" t="inlineStr">
        <is>
          <t>sin 30 degrees = 1/2 and cos 60 degrees = 1/2, so the product is 2 x 1/4 = 1/2.</t>
        </is>
      </c>
      <c r="L144" s="2" t="n">
        <v>2</v>
      </c>
      <c r="M144" s="2" t="inlineStr">
        <is>
          <t>Maths_SecP1X_2026-27.pdf Page 4</t>
        </is>
      </c>
      <c r="N144" s="2" t="inlineStr">
        <is>
          <t>draft / unverified / REVIEW_PENDING</t>
        </is>
      </c>
      <c r="O144" s="3" t="inlineStr"/>
      <c r="P144" s="3" t="inlineStr"/>
      <c r="Q144" s="3" t="inlineStr"/>
      <c r="R144" s="3" t="inlineStr"/>
      <c r="S144" s="3" t="inlineStr"/>
      <c r="T144" s="3" t="inlineStr"/>
      <c r="U144" s="3" t="inlineStr"/>
    </row>
    <row r="145" ht="46" customHeight="1">
      <c r="A145" s="2" t="inlineStr">
        <is>
          <t>C10-2627-MATH-REQ029-REASS-004</t>
        </is>
      </c>
      <c r="B145" s="2" t="inlineStr">
        <is>
          <t>Mathematics</t>
        </is>
      </c>
      <c r="C145" s="2" t="inlineStr">
        <is>
          <t>Trigonometry</t>
        </is>
      </c>
      <c r="D145" s="2" t="inlineStr">
        <is>
          <t>Introduction to Trigonometry</t>
        </is>
      </c>
      <c r="E145" s="2" t="inlineStr">
        <is>
          <t>REQ_MATH_2026_029, REQ_MATH_2026_030, REQ_MATH_2026_031</t>
        </is>
      </c>
      <c r="F145" s="2" t="inlineStr">
        <is>
          <t>LO_M8.1.1 — Define trigonometric ratios for acute angles and evaluate expression using standard values and fundamental trigonometric identity sin^2 A + cos^2 A = 1.</t>
        </is>
      </c>
      <c r="G145" s="2" t="inlineStr">
        <is>
          <t>Trigonometric Ratios and Identities</t>
        </is>
      </c>
      <c r="H145" s="2" t="inlineStr">
        <is>
          <t>If sin A = 1/2 and A is acute, find A.</t>
        </is>
      </c>
      <c r="I145" s="2" t="inlineStr">
        <is>
          <t>(constructed response)</t>
        </is>
      </c>
      <c r="J145" s="2" t="inlineStr">
        <is>
          <t>30 degrees</t>
        </is>
      </c>
      <c r="K145" s="2" t="inlineStr">
        <is>
          <t>sin 30 degrees = 1/2 and the sine is strictly increasing on acute angles, so A = 30 degrees.</t>
        </is>
      </c>
      <c r="L145" s="2" t="n">
        <v>2</v>
      </c>
      <c r="M145" s="2" t="inlineStr">
        <is>
          <t>Maths_SecP1X_2026-27.pdf Page 4</t>
        </is>
      </c>
      <c r="N145" s="2" t="inlineStr">
        <is>
          <t>draft / unverified / REVIEW_PENDING</t>
        </is>
      </c>
      <c r="O145" s="3" t="inlineStr"/>
      <c r="P145" s="3" t="inlineStr"/>
      <c r="Q145" s="3" t="inlineStr"/>
      <c r="R145" s="3" t="inlineStr"/>
      <c r="S145" s="3" t="inlineStr"/>
      <c r="T145" s="3" t="inlineStr"/>
      <c r="U145" s="3" t="inlineStr"/>
    </row>
    <row r="146" ht="46" customHeight="1">
      <c r="A146" s="2" t="inlineStr">
        <is>
          <t>C10-2627-MATH-REQ029-REASS-005</t>
        </is>
      </c>
      <c r="B146" s="2" t="inlineStr">
        <is>
          <t>Mathematics</t>
        </is>
      </c>
      <c r="C146" s="2" t="inlineStr">
        <is>
          <t>Trigonometry</t>
        </is>
      </c>
      <c r="D146" s="2" t="inlineStr">
        <is>
          <t>Introduction to Trigonometry</t>
        </is>
      </c>
      <c r="E146" s="2" t="inlineStr">
        <is>
          <t>REQ_MATH_2026_029, REQ_MATH_2026_030, REQ_MATH_2026_031</t>
        </is>
      </c>
      <c r="F146" s="2" t="inlineStr">
        <is>
          <t>LO_M8.1.1 — Define trigonometric ratios for acute angles and evaluate expression using standard values and fundamental trigonometric identity sin^2 A + cos^2 A = 1.</t>
        </is>
      </c>
      <c r="G146" s="2" t="inlineStr">
        <is>
          <t>Trigonometric Ratios and Identities</t>
        </is>
      </c>
      <c r="H146" s="2" t="inlineStr">
        <is>
          <t>If cosec A = 2, find cot A for an acute angle A.</t>
        </is>
      </c>
      <c r="I146" s="2" t="inlineStr">
        <is>
          <t>(constructed response)</t>
        </is>
      </c>
      <c r="J146" s="2" t="inlineStr">
        <is>
          <t>root 3</t>
        </is>
      </c>
      <c r="K146" s="2" t="inlineStr">
        <is>
          <t>cot^2 A = cosec^2 A - 1 = 4 - 1 = 3, so cot A = root 3, approximately 1.732.</t>
        </is>
      </c>
      <c r="L146" s="2" t="n">
        <v>3</v>
      </c>
      <c r="M146" s="2" t="inlineStr">
        <is>
          <t>Maths_SecP1X_2026-27.pdf Page 4</t>
        </is>
      </c>
      <c r="N146" s="2" t="inlineStr">
        <is>
          <t>draft / unverified / REVIEW_PENDING</t>
        </is>
      </c>
      <c r="O146" s="3" t="inlineStr"/>
      <c r="P146" s="3" t="inlineStr"/>
      <c r="Q146" s="3" t="inlineStr"/>
      <c r="R146" s="3" t="inlineStr"/>
      <c r="S146" s="3" t="inlineStr"/>
      <c r="T146" s="3" t="inlineStr"/>
      <c r="U146" s="3" t="inlineStr"/>
    </row>
    <row r="147" ht="46" customHeight="1">
      <c r="A147" s="2" t="inlineStr">
        <is>
          <t>C10-2627-MATH-REQ029-REASS-006</t>
        </is>
      </c>
      <c r="B147" s="2" t="inlineStr">
        <is>
          <t>Mathematics</t>
        </is>
      </c>
      <c r="C147" s="2" t="inlineStr">
        <is>
          <t>Trigonometry</t>
        </is>
      </c>
      <c r="D147" s="2" t="inlineStr">
        <is>
          <t>Introduction to Trigonometry</t>
        </is>
      </c>
      <c r="E147" s="2" t="inlineStr">
        <is>
          <t>REQ_MATH_2026_029, REQ_MATH_2026_030, REQ_MATH_2026_031</t>
        </is>
      </c>
      <c r="F147" s="2" t="inlineStr">
        <is>
          <t>LO_M8.1.1 — Define trigonometric ratios for acute angles and evaluate expression using standard values and fundamental trigonometric identity sin^2 A + cos^2 A = 1.</t>
        </is>
      </c>
      <c r="G147" s="2" t="inlineStr">
        <is>
          <t>Trigonometric Ratios and Identities</t>
        </is>
      </c>
      <c r="H147" s="2" t="inlineStr">
        <is>
          <t>The value of sin^2 60 degrees + cos^2 60 degrees is</t>
        </is>
      </c>
      <c r="I147" s="2" t="inlineStr">
        <is>
          <t>A. 3/4
B. 1/4
C. root 3 / 2
D. 1</t>
        </is>
      </c>
      <c r="J147" s="2" t="inlineStr">
        <is>
          <t>1</t>
        </is>
      </c>
      <c r="K147" s="2" t="inlineStr">
        <is>
          <t>By the fundamental identity the sum is 1; directly, 3/4 + 1/4 = 1.</t>
        </is>
      </c>
      <c r="L147" s="2" t="n">
        <v>2</v>
      </c>
      <c r="M147" s="2" t="inlineStr">
        <is>
          <t>Maths_SecP1X_2026-27.pdf Page 4</t>
        </is>
      </c>
      <c r="N147" s="2" t="inlineStr">
        <is>
          <t>draft / unverified / REVIEW_PENDING</t>
        </is>
      </c>
      <c r="O147" s="3" t="inlineStr"/>
      <c r="P147" s="3" t="inlineStr"/>
      <c r="Q147" s="3" t="inlineStr"/>
      <c r="R147" s="3" t="inlineStr"/>
      <c r="S147" s="3" t="inlineStr"/>
      <c r="T147" s="3" t="inlineStr"/>
      <c r="U147" s="3" t="inlineStr"/>
    </row>
    <row r="148" ht="46" customHeight="1">
      <c r="A148" s="2" t="inlineStr">
        <is>
          <t>C10-2627-MATH-REQ029-REASS-007</t>
        </is>
      </c>
      <c r="B148" s="2" t="inlineStr">
        <is>
          <t>Mathematics</t>
        </is>
      </c>
      <c r="C148" s="2" t="inlineStr">
        <is>
          <t>Trigonometry</t>
        </is>
      </c>
      <c r="D148" s="2" t="inlineStr">
        <is>
          <t>Introduction to Trigonometry</t>
        </is>
      </c>
      <c r="E148" s="2" t="inlineStr">
        <is>
          <t>REQ_MATH_2026_029, REQ_MATH_2026_030, REQ_MATH_2026_031</t>
        </is>
      </c>
      <c r="F148" s="2" t="inlineStr">
        <is>
          <t>LO_M8.1.1 — Define trigonometric ratios for acute angles and evaluate expression using standard values and fundamental trigonometric identity sin^2 A + cos^2 A = 1.</t>
        </is>
      </c>
      <c r="G148" s="2" t="inlineStr">
        <is>
          <t>Trigonometric Ratios and Identities</t>
        </is>
      </c>
      <c r="H148" s="2" t="inlineStr">
        <is>
          <t>Standard values are listed below:
| Angle | sin | cos |
| 30 | 1/2 | root 3 / 2 |
| 45 | 1/root 2 | 1/root 2 |
| 60 | root 3 / 2 | 1/2 |
For which of the listed angles are the sine and cosine equal?</t>
        </is>
      </c>
      <c r="I148" s="2" t="inlineStr">
        <is>
          <t>(constructed response)</t>
        </is>
      </c>
      <c r="J148" s="2" t="inlineStr">
        <is>
          <t>45 degrees</t>
        </is>
      </c>
      <c r="K148" s="2" t="inlineStr">
        <is>
          <t>Only at 45 degrees do both ratios equal 1/root 2, which also means tan 45 degrees = 1.</t>
        </is>
      </c>
      <c r="L148" s="2" t="n">
        <v>2</v>
      </c>
      <c r="M148" s="2" t="inlineStr">
        <is>
          <t>Maths_SecP1X_2026-27.pdf Page 4</t>
        </is>
      </c>
      <c r="N148" s="2" t="inlineStr">
        <is>
          <t>draft / unverified / REVIEW_PENDING</t>
        </is>
      </c>
      <c r="O148" s="3" t="inlineStr"/>
      <c r="P148" s="3" t="inlineStr"/>
      <c r="Q148" s="3" t="inlineStr"/>
      <c r="R148" s="3" t="inlineStr"/>
      <c r="S148" s="3" t="inlineStr"/>
      <c r="T148" s="3" t="inlineStr"/>
      <c r="U148" s="3" t="inlineStr"/>
    </row>
    <row r="149" ht="46" customHeight="1">
      <c r="A149" s="2" t="inlineStr">
        <is>
          <t>C10-2627-MATH-REQ029-REASS-008</t>
        </is>
      </c>
      <c r="B149" s="2" t="inlineStr">
        <is>
          <t>Mathematics</t>
        </is>
      </c>
      <c r="C149" s="2" t="inlineStr">
        <is>
          <t>Trigonometry</t>
        </is>
      </c>
      <c r="D149" s="2" t="inlineStr">
        <is>
          <t>Introduction to Trigonometry</t>
        </is>
      </c>
      <c r="E149" s="2" t="inlineStr">
        <is>
          <t>REQ_MATH_2026_029, REQ_MATH_2026_030, REQ_MATH_2026_031</t>
        </is>
      </c>
      <c r="F149" s="2" t="inlineStr">
        <is>
          <t>LO_M8.1.1 — Define trigonometric ratios for acute angles and evaluate expression using standard values and fundamental trigonometric identity sin^2 A + cos^2 A = 1.</t>
        </is>
      </c>
      <c r="G149" s="2" t="inlineStr">
        <is>
          <t>Trigonometric Ratios and Identities</t>
        </is>
      </c>
      <c r="H149" s="2" t="inlineStr">
        <is>
          <t>Assertion (A): tan A is always less than 1 for an acute angle A.
Reason (R): tan A equals the ratio of the perpendicular to the base of a right triangle.
Choose the correct option.</t>
        </is>
      </c>
      <c r="I149" s="2" t="inlineStr">
        <is>
          <t>A. Both A and R are true and R is the correct explanation of A.
B. Both A and R are true but R is not the correct explanation of A.
C. A is true but R is false.
D. A is false but R is true.</t>
        </is>
      </c>
      <c r="J149" s="2" t="inlineStr">
        <is>
          <t>A is false but R is true.</t>
        </is>
      </c>
      <c r="K149" s="2" t="inlineStr">
        <is>
          <t>tan 60 degrees = root 3 which exceeds 1, so A is false, while R is the correct definition.</t>
        </is>
      </c>
      <c r="L149" s="2" t="n">
        <v>2</v>
      </c>
      <c r="M149" s="2" t="inlineStr">
        <is>
          <t>Maths_SecP1X_2026-27.pdf Page 4</t>
        </is>
      </c>
      <c r="N149" s="2" t="inlineStr">
        <is>
          <t>draft / unverified / REVIEW_PENDING</t>
        </is>
      </c>
      <c r="O149" s="3" t="inlineStr"/>
      <c r="P149" s="3" t="inlineStr"/>
      <c r="Q149" s="3" t="inlineStr"/>
      <c r="R149" s="3" t="inlineStr"/>
      <c r="S149" s="3" t="inlineStr"/>
      <c r="T149" s="3" t="inlineStr"/>
      <c r="U149" s="3" t="inlineStr"/>
    </row>
    <row r="150" ht="46" customHeight="1">
      <c r="A150" s="2" t="inlineStr">
        <is>
          <t>C10-2627-MATH-REQ029-REASS-009</t>
        </is>
      </c>
      <c r="B150" s="2" t="inlineStr">
        <is>
          <t>Mathematics</t>
        </is>
      </c>
      <c r="C150" s="2" t="inlineStr">
        <is>
          <t>Trigonometry</t>
        </is>
      </c>
      <c r="D150" s="2" t="inlineStr">
        <is>
          <t>Introduction to Trigonometry</t>
        </is>
      </c>
      <c r="E150" s="2" t="inlineStr">
        <is>
          <t>REQ_MATH_2026_029, REQ_MATH_2026_030, REQ_MATH_2026_031</t>
        </is>
      </c>
      <c r="F150" s="2" t="inlineStr">
        <is>
          <t>LO_M8.1.1 — Define trigonometric ratios for acute angles and evaluate expression using standard values and fundamental trigonometric identity sin^2 A + cos^2 A = 1.</t>
        </is>
      </c>
      <c r="G150" s="2" t="inlineStr">
        <is>
          <t>Trigonometric Ratios and Identities</t>
        </is>
      </c>
      <c r="H150" s="2" t="inlineStr">
        <is>
          <t>State whether the following is true or false, and justify in one line: cos A decreases as the acute angle A increases from 0 degrees to 90 degrees.</t>
        </is>
      </c>
      <c r="I150" s="2" t="inlineStr">
        <is>
          <t>A. True
B. False</t>
        </is>
      </c>
      <c r="J150" s="2" t="inlineStr">
        <is>
          <t>True</t>
        </is>
      </c>
      <c r="K150" s="2" t="inlineStr">
        <is>
          <t>cos 0 = 1 falls steadily to cos 90 degrees = 0, so the cosine decreases over that range.</t>
        </is>
      </c>
      <c r="L150" s="2" t="n">
        <v>1</v>
      </c>
      <c r="M150" s="2" t="inlineStr">
        <is>
          <t>Maths_SecP1X_2026-27.pdf Page 4</t>
        </is>
      </c>
      <c r="N150" s="2" t="inlineStr">
        <is>
          <t>draft / unverified / REVIEW_PENDING</t>
        </is>
      </c>
      <c r="O150" s="3" t="inlineStr"/>
      <c r="P150" s="3" t="inlineStr"/>
      <c r="Q150" s="3" t="inlineStr"/>
      <c r="R150" s="3" t="inlineStr"/>
      <c r="S150" s="3" t="inlineStr"/>
      <c r="T150" s="3" t="inlineStr"/>
      <c r="U150" s="3" t="inlineStr"/>
    </row>
    <row r="151" ht="46" customHeight="1">
      <c r="A151" s="2" t="inlineStr">
        <is>
          <t>C10-2627-MATH-REQ029-REASS-010</t>
        </is>
      </c>
      <c r="B151" s="2" t="inlineStr">
        <is>
          <t>Mathematics</t>
        </is>
      </c>
      <c r="C151" s="2" t="inlineStr">
        <is>
          <t>Trigonometry</t>
        </is>
      </c>
      <c r="D151" s="2" t="inlineStr">
        <is>
          <t>Introduction to Trigonometry</t>
        </is>
      </c>
      <c r="E151" s="2" t="inlineStr">
        <is>
          <t>REQ_MATH_2026_029, REQ_MATH_2026_030, REQ_MATH_2026_031</t>
        </is>
      </c>
      <c r="F151" s="2" t="inlineStr">
        <is>
          <t>LO_M8.1.1 — Define trigonometric ratios for acute angles and evaluate expression using standard values and fundamental trigonometric identity sin^2 A + cos^2 A = 1.</t>
        </is>
      </c>
      <c r="G151" s="2" t="inlineStr">
        <is>
          <t>Trigonometric Ratios and Identities</t>
        </is>
      </c>
      <c r="H151" s="2" t="inlineStr">
        <is>
          <t>Evaluate (1 - cos^2 A) / cos^2 A at A = 45 degrees, and state the identity this expression represents.</t>
        </is>
      </c>
      <c r="I151" s="2" t="inlineStr">
        <is>
          <t>(constructed response)</t>
        </is>
      </c>
      <c r="J151" s="2" t="inlineStr">
        <is>
          <t>1; the expression equals tan^2 A</t>
        </is>
      </c>
      <c r="K151" s="2" t="inlineStr">
        <is>
          <t>1 - cos^2 A = sin^2 A, so the expression is tan^2 A. At 45 degrees tan A = 1, so the value is 1.</t>
        </is>
      </c>
      <c r="L151" s="2" t="n">
        <v>3</v>
      </c>
      <c r="M151" s="2" t="inlineStr">
        <is>
          <t>Maths_SecP1X_2026-27.pdf Page 4</t>
        </is>
      </c>
      <c r="N151" s="2" t="inlineStr">
        <is>
          <t>draft / unverified / REVIEW_PENDING</t>
        </is>
      </c>
      <c r="O151" s="3" t="inlineStr"/>
      <c r="P151" s="3" t="inlineStr"/>
      <c r="Q151" s="3" t="inlineStr"/>
      <c r="R151" s="3" t="inlineStr"/>
      <c r="S151" s="3" t="inlineStr"/>
      <c r="T151" s="3" t="inlineStr"/>
      <c r="U151" s="3" t="inlineStr"/>
    </row>
    <row r="152" ht="46" customHeight="1">
      <c r="A152" s="2" t="inlineStr">
        <is>
          <t>C10-2627-MATH-REQ032-DIAG-001</t>
        </is>
      </c>
      <c r="B152" s="2" t="inlineStr">
        <is>
          <t>Mathematics</t>
        </is>
      </c>
      <c r="C152" s="2" t="inlineStr">
        <is>
          <t>Trigonometry</t>
        </is>
      </c>
      <c r="D152" s="2" t="inlineStr">
        <is>
          <t>Some Applications of Trigonometry</t>
        </is>
      </c>
      <c r="E152" s="2" t="inlineStr">
        <is>
          <t>REQ_MATH_2026_032, REQ_MATH_2026_033</t>
        </is>
      </c>
      <c r="F152" s="2" t="inlineStr">
        <is>
          <t>LO_M9.1.1 — Solve real-world problems involving angles of elevation and depression using trigonometric ratios.</t>
        </is>
      </c>
      <c r="G152" s="2" t="inlineStr">
        <is>
          <t>Heights and Distances</t>
        </is>
      </c>
      <c r="H152" s="2" t="inlineStr">
        <is>
          <t>The angle of elevation of the top of a tower from a point 20 m from its foot on level ground is 60 degrees. Find the height of the tower.</t>
        </is>
      </c>
      <c r="I152" s="2" t="inlineStr">
        <is>
          <t>(constructed response)</t>
        </is>
      </c>
      <c r="J152" s="2" t="inlineStr">
        <is>
          <t>20 root 3 m, about 34.64 m</t>
        </is>
      </c>
      <c r="K152" s="2" t="inlineStr">
        <is>
          <t>tan 60 degrees = h / 20, so h = 20 root 3 metres, approximately 34.64 m.</t>
        </is>
      </c>
      <c r="L152" s="2" t="n">
        <v>2</v>
      </c>
      <c r="M152" s="2" t="inlineStr">
        <is>
          <t>Maths_SecP1X_2026-27.pdf Page 5</t>
        </is>
      </c>
      <c r="N152" s="2" t="inlineStr">
        <is>
          <t>draft / unverified / REVIEW_PENDING</t>
        </is>
      </c>
      <c r="O152" s="3" t="inlineStr"/>
      <c r="P152" s="3" t="inlineStr"/>
      <c r="Q152" s="3" t="inlineStr"/>
      <c r="R152" s="3" t="inlineStr"/>
      <c r="S152" s="3" t="inlineStr"/>
      <c r="T152" s="3" t="inlineStr"/>
      <c r="U152" s="3" t="inlineStr"/>
    </row>
    <row r="153" ht="46" customHeight="1">
      <c r="A153" s="2" t="inlineStr">
        <is>
          <t>C10-2627-MATH-REQ032-DIAG-002</t>
        </is>
      </c>
      <c r="B153" s="2" t="inlineStr">
        <is>
          <t>Mathematics</t>
        </is>
      </c>
      <c r="C153" s="2" t="inlineStr">
        <is>
          <t>Trigonometry</t>
        </is>
      </c>
      <c r="D153" s="2" t="inlineStr">
        <is>
          <t>Some Applications of Trigonometry</t>
        </is>
      </c>
      <c r="E153" s="2" t="inlineStr">
        <is>
          <t>REQ_MATH_2026_032, REQ_MATH_2026_033</t>
        </is>
      </c>
      <c r="F153" s="2" t="inlineStr">
        <is>
          <t>LO_M9.1.1 — Solve real-world problems involving angles of elevation and depression using trigonometric ratios.</t>
        </is>
      </c>
      <c r="G153" s="2" t="inlineStr">
        <is>
          <t>Heights and Distances</t>
        </is>
      </c>
      <c r="H153" s="2" t="inlineStr">
        <is>
          <t>The shadow of a vertical pole on level ground is exactly as long as the pole. The angle of elevation of the sun is</t>
        </is>
      </c>
      <c r="I153" s="2" t="inlineStr">
        <is>
          <t>A. 90 degrees
B. 45 degrees
C. 30 degrees
D. 60 degrees</t>
        </is>
      </c>
      <c r="J153" s="2" t="inlineStr">
        <is>
          <t>45 degrees</t>
        </is>
      </c>
      <c r="K153" s="2" t="inlineStr">
        <is>
          <t>tan of the elevation equals height divided by shadow, which is 1, so the elevation is 45 degrees.</t>
        </is>
      </c>
      <c r="L153" s="2" t="n">
        <v>2</v>
      </c>
      <c r="M153" s="2" t="inlineStr">
        <is>
          <t>Maths_SecP1X_2026-27.pdf Page 5</t>
        </is>
      </c>
      <c r="N153" s="2" t="inlineStr">
        <is>
          <t>draft / unverified / REVIEW_PENDING</t>
        </is>
      </c>
      <c r="O153" s="3" t="inlineStr"/>
      <c r="P153" s="3" t="inlineStr"/>
      <c r="Q153" s="3" t="inlineStr"/>
      <c r="R153" s="3" t="inlineStr"/>
      <c r="S153" s="3" t="inlineStr"/>
      <c r="T153" s="3" t="inlineStr"/>
      <c r="U153" s="3" t="inlineStr"/>
    </row>
    <row r="154" ht="46" customHeight="1">
      <c r="A154" s="2" t="inlineStr">
        <is>
          <t>C10-2627-MATH-REQ032-DIAG-003</t>
        </is>
      </c>
      <c r="B154" s="2" t="inlineStr">
        <is>
          <t>Mathematics</t>
        </is>
      </c>
      <c r="C154" s="2" t="inlineStr">
        <is>
          <t>Trigonometry</t>
        </is>
      </c>
      <c r="D154" s="2" t="inlineStr">
        <is>
          <t>Some Applications of Trigonometry</t>
        </is>
      </c>
      <c r="E154" s="2" t="inlineStr">
        <is>
          <t>REQ_MATH_2026_032, REQ_MATH_2026_033</t>
        </is>
      </c>
      <c r="F154" s="2" t="inlineStr">
        <is>
          <t>LO_M9.1.1 — Solve real-world problems involving angles of elevation and depression using trigonometric ratios.</t>
        </is>
      </c>
      <c r="G154" s="2" t="inlineStr">
        <is>
          <t>Heights and Distances</t>
        </is>
      </c>
      <c r="H154" s="2" t="inlineStr">
        <is>
          <t>A kite is flying with a taut string 100 m long making an angle of 60 degrees with the horizontal ground. Find the height of the kite above the ground.</t>
        </is>
      </c>
      <c r="I154" s="2" t="inlineStr">
        <is>
          <t>(constructed response)</t>
        </is>
      </c>
      <c r="J154" s="2" t="inlineStr">
        <is>
          <t>50 root 3 m, about 86.6 m</t>
        </is>
      </c>
      <c r="K154" s="2" t="inlineStr">
        <is>
          <t>The height is 100 x sin 60 degrees = 100 x root 3 / 2 = 50 root 3 m, approximately 86.6 m.</t>
        </is>
      </c>
      <c r="L154" s="2" t="n">
        <v>3</v>
      </c>
      <c r="M154" s="2" t="inlineStr">
        <is>
          <t>Maths_SecP1X_2026-27.pdf Page 5</t>
        </is>
      </c>
      <c r="N154" s="2" t="inlineStr">
        <is>
          <t>draft / unverified / REVIEW_PENDING</t>
        </is>
      </c>
      <c r="O154" s="3" t="inlineStr"/>
      <c r="P154" s="3" t="inlineStr"/>
      <c r="Q154" s="3" t="inlineStr"/>
      <c r="R154" s="3" t="inlineStr"/>
      <c r="S154" s="3" t="inlineStr"/>
      <c r="T154" s="3" t="inlineStr"/>
      <c r="U154" s="3" t="inlineStr"/>
    </row>
    <row r="155" ht="46" customHeight="1">
      <c r="A155" s="2" t="inlineStr">
        <is>
          <t>C10-2627-MATH-REQ032-DIAG-004</t>
        </is>
      </c>
      <c r="B155" s="2" t="inlineStr">
        <is>
          <t>Mathematics</t>
        </is>
      </c>
      <c r="C155" s="2" t="inlineStr">
        <is>
          <t>Trigonometry</t>
        </is>
      </c>
      <c r="D155" s="2" t="inlineStr">
        <is>
          <t>Some Applications of Trigonometry</t>
        </is>
      </c>
      <c r="E155" s="2" t="inlineStr">
        <is>
          <t>REQ_MATH_2026_032, REQ_MATH_2026_033</t>
        </is>
      </c>
      <c r="F155" s="2" t="inlineStr">
        <is>
          <t>LO_M9.1.1 — Solve real-world problems involving angles of elevation and depression using trigonometric ratios.</t>
        </is>
      </c>
      <c r="G155" s="2" t="inlineStr">
        <is>
          <t>Heights and Distances</t>
        </is>
      </c>
      <c r="H155" s="2" t="inlineStr">
        <is>
          <t>A coastguard stands at the top of a vertical cliff 50 m above sea level and observes a small boat. The angle of depression of the boat from the coastguard is 45 degrees.
Find the horizontal distance of the boat from the foot of the cliff.</t>
        </is>
      </c>
      <c r="I155" s="2" t="inlineStr">
        <is>
          <t>(constructed response)</t>
        </is>
      </c>
      <c r="J155" s="2" t="inlineStr">
        <is>
          <t>50 m</t>
        </is>
      </c>
      <c r="K155" s="2" t="inlineStr">
        <is>
          <t>The angle of depression equals the angle of elevation from the boat, so tan 45 degrees = 50 / d, giving d = 50 m.</t>
        </is>
      </c>
      <c r="L155" s="2" t="n">
        <v>3</v>
      </c>
      <c r="M155" s="2" t="inlineStr">
        <is>
          <t>Maths_SecP1X_2026-27.pdf Page 5</t>
        </is>
      </c>
      <c r="N155" s="2" t="inlineStr">
        <is>
          <t>draft / unverified / REVIEW_PENDING</t>
        </is>
      </c>
      <c r="O155" s="3" t="inlineStr"/>
      <c r="P155" s="3" t="inlineStr"/>
      <c r="Q155" s="3" t="inlineStr"/>
      <c r="R155" s="3" t="inlineStr"/>
      <c r="S155" s="3" t="inlineStr"/>
      <c r="T155" s="3" t="inlineStr"/>
      <c r="U155" s="3" t="inlineStr"/>
    </row>
    <row r="156" ht="46" customHeight="1">
      <c r="A156" s="2" t="inlineStr">
        <is>
          <t>C10-2627-MATH-REQ032-DIAG-005</t>
        </is>
      </c>
      <c r="B156" s="2" t="inlineStr">
        <is>
          <t>Mathematics</t>
        </is>
      </c>
      <c r="C156" s="2" t="inlineStr">
        <is>
          <t>Trigonometry</t>
        </is>
      </c>
      <c r="D156" s="2" t="inlineStr">
        <is>
          <t>Some Applications of Trigonometry</t>
        </is>
      </c>
      <c r="E156" s="2" t="inlineStr">
        <is>
          <t>REQ_MATH_2026_032, REQ_MATH_2026_033</t>
        </is>
      </c>
      <c r="F156" s="2" t="inlineStr">
        <is>
          <t>LO_M9.1.1 — Solve real-world problems involving angles of elevation and depression using trigonometric ratios.</t>
        </is>
      </c>
      <c r="G156" s="2" t="inlineStr">
        <is>
          <t>Heights and Distances</t>
        </is>
      </c>
      <c r="H156" s="2" t="inlineStr">
        <is>
          <t>A vertical pole is 10 m tall and the angle of elevation of its top from a point on the ground is 30 degrees. Find the distance of the point from the foot of the pole.</t>
        </is>
      </c>
      <c r="I156" s="2" t="inlineStr">
        <is>
          <t>(constructed response)</t>
        </is>
      </c>
      <c r="J156" s="2" t="inlineStr">
        <is>
          <t>10 root 3 m, about 17.32 m</t>
        </is>
      </c>
      <c r="K156" s="2" t="inlineStr">
        <is>
          <t>tan 30 degrees = 10 / d gives d = 10 root 3 m, approximately 17.32 m.</t>
        </is>
      </c>
      <c r="L156" s="2" t="n">
        <v>2</v>
      </c>
      <c r="M156" s="2" t="inlineStr">
        <is>
          <t>Maths_SecP1X_2026-27.pdf Page 5</t>
        </is>
      </c>
      <c r="N156" s="2" t="inlineStr">
        <is>
          <t>draft / unverified / REVIEW_PENDING</t>
        </is>
      </c>
      <c r="O156" s="3" t="inlineStr"/>
      <c r="P156" s="3" t="inlineStr"/>
      <c r="Q156" s="3" t="inlineStr"/>
      <c r="R156" s="3" t="inlineStr"/>
      <c r="S156" s="3" t="inlineStr"/>
      <c r="T156" s="3" t="inlineStr"/>
      <c r="U156" s="3" t="inlineStr"/>
    </row>
    <row r="157" ht="46" customHeight="1">
      <c r="A157" s="2" t="inlineStr">
        <is>
          <t>C10-2627-MATH-REQ032-DIAG-006</t>
        </is>
      </c>
      <c r="B157" s="2" t="inlineStr">
        <is>
          <t>Mathematics</t>
        </is>
      </c>
      <c r="C157" s="2" t="inlineStr">
        <is>
          <t>Trigonometry</t>
        </is>
      </c>
      <c r="D157" s="2" t="inlineStr">
        <is>
          <t>Some Applications of Trigonometry</t>
        </is>
      </c>
      <c r="E157" s="2" t="inlineStr">
        <is>
          <t>REQ_MATH_2026_032, REQ_MATH_2026_033</t>
        </is>
      </c>
      <c r="F157" s="2" t="inlineStr">
        <is>
          <t>LO_M9.1.1 — Solve real-world problems involving angles of elevation and depression using trigonometric ratios.</t>
        </is>
      </c>
      <c r="G157" s="2" t="inlineStr">
        <is>
          <t>Heights and Distances</t>
        </is>
      </c>
      <c r="H157" s="2" t="inlineStr">
        <is>
          <t>Assertion (A): As an observer walks towards the foot of a tower, the angle of elevation of its top increases.
Reason (R): For a fixed height, tan of the angle of elevation is inversely proportional to the horizontal distance.
Choose the correct option.</t>
        </is>
      </c>
      <c r="I157" s="2" t="inlineStr">
        <is>
          <t>A. Both A and R are true and R is the correct explanation of A.
B. Both A and R are true but R is not the correct explanation of A.
C. A is true but R is false.
D. A is false but R is true.</t>
        </is>
      </c>
      <c r="J157" s="2" t="inlineStr">
        <is>
          <t>Both A and R are true and R is the correct explanation of A.</t>
        </is>
      </c>
      <c r="K157" s="2" t="inlineStr">
        <is>
          <t>Reducing the distance increases h/d, and since the tangent increases with the acute angle, the elevation increases.</t>
        </is>
      </c>
      <c r="L157" s="2" t="n">
        <v>2</v>
      </c>
      <c r="M157" s="2" t="inlineStr">
        <is>
          <t>Maths_SecP1X_2026-27.pdf Page 5</t>
        </is>
      </c>
      <c r="N157" s="2" t="inlineStr">
        <is>
          <t>draft / unverified / REVIEW_PENDING</t>
        </is>
      </c>
      <c r="O157" s="3" t="inlineStr"/>
      <c r="P157" s="3" t="inlineStr"/>
      <c r="Q157" s="3" t="inlineStr"/>
      <c r="R157" s="3" t="inlineStr"/>
      <c r="S157" s="3" t="inlineStr"/>
      <c r="T157" s="3" t="inlineStr"/>
      <c r="U157" s="3" t="inlineStr"/>
    </row>
    <row r="158" ht="46" customHeight="1">
      <c r="A158" s="2" t="inlineStr">
        <is>
          <t>C10-2627-MATH-REQ032-DIAG-007</t>
        </is>
      </c>
      <c r="B158" s="2" t="inlineStr">
        <is>
          <t>Mathematics</t>
        </is>
      </c>
      <c r="C158" s="2" t="inlineStr">
        <is>
          <t>Trigonometry</t>
        </is>
      </c>
      <c r="D158" s="2" t="inlineStr">
        <is>
          <t>Some Applications of Trigonometry</t>
        </is>
      </c>
      <c r="E158" s="2" t="inlineStr">
        <is>
          <t>REQ_MATH_2026_032, REQ_MATH_2026_033</t>
        </is>
      </c>
      <c r="F158" s="2" t="inlineStr">
        <is>
          <t>LO_M9.1.1 — Solve real-world problems involving angles of elevation and depression using trigonometric ratios.</t>
        </is>
      </c>
      <c r="G158" s="2" t="inlineStr">
        <is>
          <t>Heights and Distances</t>
        </is>
      </c>
      <c r="H158" s="2" t="inlineStr">
        <is>
          <t>State whether the following is true or false, and justify in one line: An angle of depression is measured from the horizontal line through the observer's eye.</t>
        </is>
      </c>
      <c r="I158" s="2" t="inlineStr">
        <is>
          <t>A. True
B. False</t>
        </is>
      </c>
      <c r="J158" s="2" t="inlineStr">
        <is>
          <t>True</t>
        </is>
      </c>
      <c r="K158" s="2" t="inlineStr">
        <is>
          <t>By definition the angle of depression is the angle between the horizontal through the observer and the line of sight to an object below.</t>
        </is>
      </c>
      <c r="L158" s="2" t="n">
        <v>1</v>
      </c>
      <c r="M158" s="2" t="inlineStr">
        <is>
          <t>Maths_SecP1X_2026-27.pdf Page 5</t>
        </is>
      </c>
      <c r="N158" s="2" t="inlineStr">
        <is>
          <t>draft / unverified / REVIEW_PENDING</t>
        </is>
      </c>
      <c r="O158" s="3" t="inlineStr"/>
      <c r="P158" s="3" t="inlineStr"/>
      <c r="Q158" s="3" t="inlineStr"/>
      <c r="R158" s="3" t="inlineStr"/>
      <c r="S158" s="3" t="inlineStr"/>
      <c r="T158" s="3" t="inlineStr"/>
      <c r="U158" s="3" t="inlineStr"/>
    </row>
    <row r="159" ht="46" customHeight="1">
      <c r="A159" s="2" t="inlineStr">
        <is>
          <t>C10-2627-MATH-REQ032-REASS-001</t>
        </is>
      </c>
      <c r="B159" s="2" t="inlineStr">
        <is>
          <t>Mathematics</t>
        </is>
      </c>
      <c r="C159" s="2" t="inlineStr">
        <is>
          <t>Trigonometry</t>
        </is>
      </c>
      <c r="D159" s="2" t="inlineStr">
        <is>
          <t>Some Applications of Trigonometry</t>
        </is>
      </c>
      <c r="E159" s="2" t="inlineStr">
        <is>
          <t>REQ_MATH_2026_032, REQ_MATH_2026_033</t>
        </is>
      </c>
      <c r="F159" s="2" t="inlineStr">
        <is>
          <t>LO_M9.1.1 — Solve real-world problems involving angles of elevation and depression using trigonometric ratios.</t>
        </is>
      </c>
      <c r="G159" s="2" t="inlineStr">
        <is>
          <t>Heights and Distances</t>
        </is>
      </c>
      <c r="H159" s="2" t="inlineStr">
        <is>
          <t>From a point 25 m away from the foot of a tower on level ground, the angle of elevation of the top is 45 degrees. Find the height of the tower.</t>
        </is>
      </c>
      <c r="I159" s="2" t="inlineStr">
        <is>
          <t>(constructed response)</t>
        </is>
      </c>
      <c r="J159" s="2" t="inlineStr">
        <is>
          <t>25 m</t>
        </is>
      </c>
      <c r="K159" s="2" t="inlineStr">
        <is>
          <t>tan 45 degrees = h / 25 and tan 45 degrees = 1, so h = 25 m.</t>
        </is>
      </c>
      <c r="L159" s="2" t="n">
        <v>2</v>
      </c>
      <c r="M159" s="2" t="inlineStr">
        <is>
          <t>Maths_SecP1X_2026-27.pdf Page 5</t>
        </is>
      </c>
      <c r="N159" s="2" t="inlineStr">
        <is>
          <t>draft / unverified / REVIEW_PENDING</t>
        </is>
      </c>
      <c r="O159" s="3" t="inlineStr"/>
      <c r="P159" s="3" t="inlineStr"/>
      <c r="Q159" s="3" t="inlineStr"/>
      <c r="R159" s="3" t="inlineStr"/>
      <c r="S159" s="3" t="inlineStr"/>
      <c r="T159" s="3" t="inlineStr"/>
      <c r="U159" s="3" t="inlineStr"/>
    </row>
    <row r="160" ht="46" customHeight="1">
      <c r="A160" s="2" t="inlineStr">
        <is>
          <t>C10-2627-MATH-REQ032-REASS-002</t>
        </is>
      </c>
      <c r="B160" s="2" t="inlineStr">
        <is>
          <t>Mathematics</t>
        </is>
      </c>
      <c r="C160" s="2" t="inlineStr">
        <is>
          <t>Trigonometry</t>
        </is>
      </c>
      <c r="D160" s="2" t="inlineStr">
        <is>
          <t>Some Applications of Trigonometry</t>
        </is>
      </c>
      <c r="E160" s="2" t="inlineStr">
        <is>
          <t>REQ_MATH_2026_032, REQ_MATH_2026_033</t>
        </is>
      </c>
      <c r="F160" s="2" t="inlineStr">
        <is>
          <t>LO_M9.1.1 — Solve real-world problems involving angles of elevation and depression using trigonometric ratios.</t>
        </is>
      </c>
      <c r="G160" s="2" t="inlineStr">
        <is>
          <t>Heights and Distances</t>
        </is>
      </c>
      <c r="H160" s="2" t="inlineStr">
        <is>
          <t>The shadow of a tower is root 3 times its height. The angle of elevation of the sun is</t>
        </is>
      </c>
      <c r="I160" s="2" t="inlineStr">
        <is>
          <t>A. 60 degrees
B. 15 degrees
C. 30 degrees
D. 45 degrees</t>
        </is>
      </c>
      <c r="J160" s="2" t="inlineStr">
        <is>
          <t>30 degrees</t>
        </is>
      </c>
      <c r="K160" s="2" t="inlineStr">
        <is>
          <t>tan of the elevation is h / (root 3 h) = 1/root 3, which corresponds to 30 degrees.</t>
        </is>
      </c>
      <c r="L160" s="2" t="n">
        <v>2</v>
      </c>
      <c r="M160" s="2" t="inlineStr">
        <is>
          <t>Maths_SecP1X_2026-27.pdf Page 5</t>
        </is>
      </c>
      <c r="N160" s="2" t="inlineStr">
        <is>
          <t>draft / unverified / REVIEW_PENDING</t>
        </is>
      </c>
      <c r="O160" s="3" t="inlineStr"/>
      <c r="P160" s="3" t="inlineStr"/>
      <c r="Q160" s="3" t="inlineStr"/>
      <c r="R160" s="3" t="inlineStr"/>
      <c r="S160" s="3" t="inlineStr"/>
      <c r="T160" s="3" t="inlineStr"/>
      <c r="U160" s="3" t="inlineStr"/>
    </row>
    <row r="161" ht="46" customHeight="1">
      <c r="A161" s="2" t="inlineStr">
        <is>
          <t>C10-2627-MATH-REQ032-REASS-003</t>
        </is>
      </c>
      <c r="B161" s="2" t="inlineStr">
        <is>
          <t>Mathematics</t>
        </is>
      </c>
      <c r="C161" s="2" t="inlineStr">
        <is>
          <t>Trigonometry</t>
        </is>
      </c>
      <c r="D161" s="2" t="inlineStr">
        <is>
          <t>Some Applications of Trigonometry</t>
        </is>
      </c>
      <c r="E161" s="2" t="inlineStr">
        <is>
          <t>REQ_MATH_2026_032, REQ_MATH_2026_033</t>
        </is>
      </c>
      <c r="F161" s="2" t="inlineStr">
        <is>
          <t>LO_M9.1.1 — Solve real-world problems involving angles of elevation and depression using trigonometric ratios.</t>
        </is>
      </c>
      <c r="G161" s="2" t="inlineStr">
        <is>
          <t>Heights and Distances</t>
        </is>
      </c>
      <c r="H161" s="2" t="inlineStr">
        <is>
          <t>A ladder 13 m long rests against a vertical wall making an angle of 60 degrees with the ground. How high up the wall does the ladder reach?</t>
        </is>
      </c>
      <c r="I161" s="2" t="inlineStr">
        <is>
          <t>(constructed response)</t>
        </is>
      </c>
      <c r="J161" s="2" t="inlineStr">
        <is>
          <t>6.5 root 3 m, about 11.26 m</t>
        </is>
      </c>
      <c r="K161" s="2" t="inlineStr">
        <is>
          <t>The height reached is 13 x sin 60 degrees = 13 root 3 / 2 m, approximately 11.26 m.</t>
        </is>
      </c>
      <c r="L161" s="2" t="n">
        <v>3</v>
      </c>
      <c r="M161" s="2" t="inlineStr">
        <is>
          <t>Maths_SecP1X_2026-27.pdf Page 5</t>
        </is>
      </c>
      <c r="N161" s="2" t="inlineStr">
        <is>
          <t>draft / unverified / REVIEW_PENDING</t>
        </is>
      </c>
      <c r="O161" s="3" t="inlineStr"/>
      <c r="P161" s="3" t="inlineStr"/>
      <c r="Q161" s="3" t="inlineStr"/>
      <c r="R161" s="3" t="inlineStr"/>
      <c r="S161" s="3" t="inlineStr"/>
      <c r="T161" s="3" t="inlineStr"/>
      <c r="U161" s="3" t="inlineStr"/>
    </row>
    <row r="162" ht="46" customHeight="1">
      <c r="A162" s="2" t="inlineStr">
        <is>
          <t>C10-2627-MATH-REQ032-REASS-004</t>
        </is>
      </c>
      <c r="B162" s="2" t="inlineStr">
        <is>
          <t>Mathematics</t>
        </is>
      </c>
      <c r="C162" s="2" t="inlineStr">
        <is>
          <t>Trigonometry</t>
        </is>
      </c>
      <c r="D162" s="2" t="inlineStr">
        <is>
          <t>Some Applications of Trigonometry</t>
        </is>
      </c>
      <c r="E162" s="2" t="inlineStr">
        <is>
          <t>REQ_MATH_2026_032, REQ_MATH_2026_033</t>
        </is>
      </c>
      <c r="F162" s="2" t="inlineStr">
        <is>
          <t>LO_M9.1.1 — Solve real-world problems involving angles of elevation and depression using trigonometric ratios.</t>
        </is>
      </c>
      <c r="G162" s="2" t="inlineStr">
        <is>
          <t>Heights and Distances</t>
        </is>
      </c>
      <c r="H162" s="2" t="inlineStr">
        <is>
          <t>An aircraft flying at a steady altitude of 1500 m spots a runway marker ahead. The angle of depression of the marker from the aircraft is 30 degrees.
Find the horizontal distance between the aircraft and the marker.</t>
        </is>
      </c>
      <c r="I162" s="2" t="inlineStr">
        <is>
          <t>(constructed response)</t>
        </is>
      </c>
      <c r="J162" s="2" t="inlineStr">
        <is>
          <t>1500 root 3 m, about 2598.08 m</t>
        </is>
      </c>
      <c r="K162" s="2" t="inlineStr">
        <is>
          <t>tan 30 degrees = 1500 / d, so d = 1500 root 3 m, approximately 2598.08 m.</t>
        </is>
      </c>
      <c r="L162" s="2" t="n">
        <v>4</v>
      </c>
      <c r="M162" s="2" t="inlineStr">
        <is>
          <t>Maths_SecP1X_2026-27.pdf Page 5</t>
        </is>
      </c>
      <c r="N162" s="2" t="inlineStr">
        <is>
          <t>draft / unverified / REVIEW_PENDING</t>
        </is>
      </c>
      <c r="O162" s="3" t="inlineStr"/>
      <c r="P162" s="3" t="inlineStr"/>
      <c r="Q162" s="3" t="inlineStr"/>
      <c r="R162" s="3" t="inlineStr"/>
      <c r="S162" s="3" t="inlineStr"/>
      <c r="T162" s="3" t="inlineStr"/>
      <c r="U162" s="3" t="inlineStr"/>
    </row>
    <row r="163" ht="46" customHeight="1">
      <c r="A163" s="2" t="inlineStr">
        <is>
          <t>C10-2627-MATH-REQ032-REASS-005</t>
        </is>
      </c>
      <c r="B163" s="2" t="inlineStr">
        <is>
          <t>Mathematics</t>
        </is>
      </c>
      <c r="C163" s="2" t="inlineStr">
        <is>
          <t>Trigonometry</t>
        </is>
      </c>
      <c r="D163" s="2" t="inlineStr">
        <is>
          <t>Some Applications of Trigonometry</t>
        </is>
      </c>
      <c r="E163" s="2" t="inlineStr">
        <is>
          <t>REQ_MATH_2026_032, REQ_MATH_2026_033</t>
        </is>
      </c>
      <c r="F163" s="2" t="inlineStr">
        <is>
          <t>LO_M9.1.1 — Solve real-world problems involving angles of elevation and depression using trigonometric ratios.</t>
        </is>
      </c>
      <c r="G163" s="2" t="inlineStr">
        <is>
          <t>Heights and Distances</t>
        </is>
      </c>
      <c r="H163" s="2" t="inlineStr">
        <is>
          <t>A rope 20 m long is tied from the top of a vertical post to a peg on the ground and makes an angle of 30 degrees with the ground. Find the height of the post.</t>
        </is>
      </c>
      <c r="I163" s="2" t="inlineStr">
        <is>
          <t>(constructed response)</t>
        </is>
      </c>
      <c r="J163" s="2" t="inlineStr">
        <is>
          <t>10 m</t>
        </is>
      </c>
      <c r="K163" s="2" t="inlineStr">
        <is>
          <t>The height is 20 x sin 30 degrees = 20 x 1/2 = 10 m.</t>
        </is>
      </c>
      <c r="L163" s="2" t="n">
        <v>2</v>
      </c>
      <c r="M163" s="2" t="inlineStr">
        <is>
          <t>Maths_SecP1X_2026-27.pdf Page 5</t>
        </is>
      </c>
      <c r="N163" s="2" t="inlineStr">
        <is>
          <t>draft / unverified / REVIEW_PENDING</t>
        </is>
      </c>
      <c r="O163" s="3" t="inlineStr"/>
      <c r="P163" s="3" t="inlineStr"/>
      <c r="Q163" s="3" t="inlineStr"/>
      <c r="R163" s="3" t="inlineStr"/>
      <c r="S163" s="3" t="inlineStr"/>
      <c r="T163" s="3" t="inlineStr"/>
      <c r="U163" s="3" t="inlineStr"/>
    </row>
    <row r="164" ht="46" customHeight="1">
      <c r="A164" s="2" t="inlineStr">
        <is>
          <t>C10-2627-MATH-REQ032-REASS-006</t>
        </is>
      </c>
      <c r="B164" s="2" t="inlineStr">
        <is>
          <t>Mathematics</t>
        </is>
      </c>
      <c r="C164" s="2" t="inlineStr">
        <is>
          <t>Trigonometry</t>
        </is>
      </c>
      <c r="D164" s="2" t="inlineStr">
        <is>
          <t>Some Applications of Trigonometry</t>
        </is>
      </c>
      <c r="E164" s="2" t="inlineStr">
        <is>
          <t>REQ_MATH_2026_032, REQ_MATH_2026_033</t>
        </is>
      </c>
      <c r="F164" s="2" t="inlineStr">
        <is>
          <t>LO_M9.1.1 — Solve real-world problems involving angles of elevation and depression using trigonometric ratios.</t>
        </is>
      </c>
      <c r="G164" s="2" t="inlineStr">
        <is>
          <t>Heights and Distances</t>
        </is>
      </c>
      <c r="H164" s="2" t="inlineStr">
        <is>
          <t>Two towers are observed from points on level ground:
| Tower | Distance of observer from foot | Angle of elevation |
| T1 | 30 m | 45 degrees |
| T2 | 30 m | 30 degrees |
Which tower is taller, and by approximately how much?</t>
        </is>
      </c>
      <c r="I164" s="2" t="inlineStr">
        <is>
          <t>(constructed response)</t>
        </is>
      </c>
      <c r="J164" s="2" t="inlineStr">
        <is>
          <t>T1 is taller by about 12.68 m</t>
        </is>
      </c>
      <c r="K164" s="2" t="inlineStr">
        <is>
          <t>T1 has height 30 m and T2 has height 30 / root 3, which is about 17.32 m, so the difference is about 12.68 m.</t>
        </is>
      </c>
      <c r="L164" s="2" t="n">
        <v>3</v>
      </c>
      <c r="M164" s="2" t="inlineStr">
        <is>
          <t>Maths_SecP1X_2026-27.pdf Page 5</t>
        </is>
      </c>
      <c r="N164" s="2" t="inlineStr">
        <is>
          <t>draft / unverified / REVIEW_PENDING</t>
        </is>
      </c>
      <c r="O164" s="3" t="inlineStr"/>
      <c r="P164" s="3" t="inlineStr"/>
      <c r="Q164" s="3" t="inlineStr"/>
      <c r="R164" s="3" t="inlineStr"/>
      <c r="S164" s="3" t="inlineStr"/>
      <c r="T164" s="3" t="inlineStr"/>
      <c r="U164" s="3" t="inlineStr"/>
    </row>
    <row r="165" ht="46" customHeight="1">
      <c r="A165" s="2" t="inlineStr">
        <is>
          <t>C10-2627-MATH-REQ032-REASS-007</t>
        </is>
      </c>
      <c r="B165" s="2" t="inlineStr">
        <is>
          <t>Mathematics</t>
        </is>
      </c>
      <c r="C165" s="2" t="inlineStr">
        <is>
          <t>Trigonometry</t>
        </is>
      </c>
      <c r="D165" s="2" t="inlineStr">
        <is>
          <t>Some Applications of Trigonometry</t>
        </is>
      </c>
      <c r="E165" s="2" t="inlineStr">
        <is>
          <t>REQ_MATH_2026_032, REQ_MATH_2026_033</t>
        </is>
      </c>
      <c r="F165" s="2" t="inlineStr">
        <is>
          <t>LO_M9.1.1 — Solve real-world problems involving angles of elevation and depression using trigonometric ratios.</t>
        </is>
      </c>
      <c r="G165" s="2" t="inlineStr">
        <is>
          <t>Heights and Distances</t>
        </is>
      </c>
      <c r="H165" s="2" t="inlineStr">
        <is>
          <t>Assertion (A): The angle of elevation of an object from an observer equals the angle of depression of the observer from that object.
Reason (R): The two angles are alternate angles between parallel horizontal lines cut by the line of sight.
Choose the correct option.</t>
        </is>
      </c>
      <c r="I165" s="2" t="inlineStr">
        <is>
          <t>A. Both A and R are true and R is the correct explanation of A.
B. Both A and R are true but R is not the correct explanation of A.
C. A is true but R is false.
D. A is false but R is true.</t>
        </is>
      </c>
      <c r="J165" s="2" t="inlineStr">
        <is>
          <t>Both A and R are true and R is the correct explanation of A.</t>
        </is>
      </c>
      <c r="K165" s="2" t="inlineStr">
        <is>
          <t>The horizontal lines at the observer and at the object are parallel, so the alternate angles formed by the line of sight are equal.</t>
        </is>
      </c>
      <c r="L165" s="2" t="n">
        <v>2</v>
      </c>
      <c r="M165" s="2" t="inlineStr">
        <is>
          <t>Maths_SecP1X_2026-27.pdf Page 5</t>
        </is>
      </c>
      <c r="N165" s="2" t="inlineStr">
        <is>
          <t>draft / unverified / REVIEW_PENDING</t>
        </is>
      </c>
      <c r="O165" s="3" t="inlineStr"/>
      <c r="P165" s="3" t="inlineStr"/>
      <c r="Q165" s="3" t="inlineStr"/>
      <c r="R165" s="3" t="inlineStr"/>
      <c r="S165" s="3" t="inlineStr"/>
      <c r="T165" s="3" t="inlineStr"/>
      <c r="U165" s="3" t="inlineStr"/>
    </row>
    <row r="166" ht="46" customHeight="1">
      <c r="A166" s="2" t="inlineStr">
        <is>
          <t>C10-2627-MATH-REQ032-REASS-008</t>
        </is>
      </c>
      <c r="B166" s="2" t="inlineStr">
        <is>
          <t>Mathematics</t>
        </is>
      </c>
      <c r="C166" s="2" t="inlineStr">
        <is>
          <t>Trigonometry</t>
        </is>
      </c>
      <c r="D166" s="2" t="inlineStr">
        <is>
          <t>Some Applications of Trigonometry</t>
        </is>
      </c>
      <c r="E166" s="2" t="inlineStr">
        <is>
          <t>REQ_MATH_2026_032, REQ_MATH_2026_033</t>
        </is>
      </c>
      <c r="F166" s="2" t="inlineStr">
        <is>
          <t>LO_M9.1.1 — Solve real-world problems involving angles of elevation and depression using trigonometric ratios.</t>
        </is>
      </c>
      <c r="G166" s="2" t="inlineStr">
        <is>
          <t>Heights and Distances</t>
        </is>
      </c>
      <c r="H166" s="2" t="inlineStr">
        <is>
          <t>State whether the following is true or false, and justify in one line: If an observer moves away from the foot of a tower, the angle of elevation of its top increases.</t>
        </is>
      </c>
      <c r="I166" s="2" t="inlineStr">
        <is>
          <t>A. True
B. False</t>
        </is>
      </c>
      <c r="J166" s="2" t="inlineStr">
        <is>
          <t>False</t>
        </is>
      </c>
      <c r="K166" s="2" t="inlineStr">
        <is>
          <t>The ratio height divided by distance decreases as the distance grows, so the angle of elevation decreases.</t>
        </is>
      </c>
      <c r="L166" s="2" t="n">
        <v>1</v>
      </c>
      <c r="M166" s="2" t="inlineStr">
        <is>
          <t>Maths_SecP1X_2026-27.pdf Page 5</t>
        </is>
      </c>
      <c r="N166" s="2" t="inlineStr">
        <is>
          <t>draft / unverified / REVIEW_PENDING</t>
        </is>
      </c>
      <c r="O166" s="3" t="inlineStr"/>
      <c r="P166" s="3" t="inlineStr"/>
      <c r="Q166" s="3" t="inlineStr"/>
      <c r="R166" s="3" t="inlineStr"/>
      <c r="S166" s="3" t="inlineStr"/>
      <c r="T166" s="3" t="inlineStr"/>
      <c r="U166" s="3" t="inlineStr"/>
    </row>
    <row r="167" ht="46" customHeight="1">
      <c r="A167" s="2" t="inlineStr">
        <is>
          <t>C10-2627-MATH-REQ032-REASS-009</t>
        </is>
      </c>
      <c r="B167" s="2" t="inlineStr">
        <is>
          <t>Mathematics</t>
        </is>
      </c>
      <c r="C167" s="2" t="inlineStr">
        <is>
          <t>Trigonometry</t>
        </is>
      </c>
      <c r="D167" s="2" t="inlineStr">
        <is>
          <t>Some Applications of Trigonometry</t>
        </is>
      </c>
      <c r="E167" s="2" t="inlineStr">
        <is>
          <t>REQ_MATH_2026_032, REQ_MATH_2026_033</t>
        </is>
      </c>
      <c r="F167" s="2" t="inlineStr">
        <is>
          <t>LO_M9.1.1 — Solve real-world problems involving angles of elevation and depression using trigonometric ratios.</t>
        </is>
      </c>
      <c r="G167" s="2" t="inlineStr">
        <is>
          <t>Heights and Distances</t>
        </is>
      </c>
      <c r="H167" s="2" t="inlineStr">
        <is>
          <t>From the top of a building 60 m high, the angle of depression of a parked car on level ground is 30 degrees. Find the distance of the car from the foot of the building.</t>
        </is>
      </c>
      <c r="I167" s="2" t="inlineStr">
        <is>
          <t>(constructed response)</t>
        </is>
      </c>
      <c r="J167" s="2" t="inlineStr">
        <is>
          <t>60 root 3 m, about 103.92 m</t>
        </is>
      </c>
      <c r="K167" s="2" t="inlineStr">
        <is>
          <t>tan 30 degrees = 60 / d, so d = 60 root 3 m, approximately 103.92 m.</t>
        </is>
      </c>
      <c r="L167" s="2" t="n">
        <v>3</v>
      </c>
      <c r="M167" s="2" t="inlineStr">
        <is>
          <t>Maths_SecP1X_2026-27.pdf Page 5</t>
        </is>
      </c>
      <c r="N167" s="2" t="inlineStr">
        <is>
          <t>draft / unverified / REVIEW_PENDING</t>
        </is>
      </c>
      <c r="O167" s="3" t="inlineStr"/>
      <c r="P167" s="3" t="inlineStr"/>
      <c r="Q167" s="3" t="inlineStr"/>
      <c r="R167" s="3" t="inlineStr"/>
      <c r="S167" s="3" t="inlineStr"/>
      <c r="T167" s="3" t="inlineStr"/>
      <c r="U167" s="3" t="inlineStr"/>
    </row>
    <row r="168" ht="46" customHeight="1">
      <c r="A168" s="2" t="inlineStr">
        <is>
          <t>C10-2627-MATH-REQ032-REASS-010</t>
        </is>
      </c>
      <c r="B168" s="2" t="inlineStr">
        <is>
          <t>Mathematics</t>
        </is>
      </c>
      <c r="C168" s="2" t="inlineStr">
        <is>
          <t>Trigonometry</t>
        </is>
      </c>
      <c r="D168" s="2" t="inlineStr">
        <is>
          <t>Some Applications of Trigonometry</t>
        </is>
      </c>
      <c r="E168" s="2" t="inlineStr">
        <is>
          <t>REQ_MATH_2026_032, REQ_MATH_2026_033</t>
        </is>
      </c>
      <c r="F168" s="2" t="inlineStr">
        <is>
          <t>LO_M9.1.1 — Solve real-world problems involving angles of elevation and depression using trigonometric ratios.</t>
        </is>
      </c>
      <c r="G168" s="2" t="inlineStr">
        <is>
          <t>Heights and Distances</t>
        </is>
      </c>
      <c r="H168" s="2" t="inlineStr">
        <is>
          <t>A vertical pole and its shadow have equal lengths at a certain time. At that moment the angle of elevation of the sun is</t>
        </is>
      </c>
      <c r="I168" s="2" t="inlineStr">
        <is>
          <t>A. 30 degrees
B. 60 degrees
C. 0 degrees
D. 45 degrees</t>
        </is>
      </c>
      <c r="J168" s="2" t="inlineStr">
        <is>
          <t>45 degrees</t>
        </is>
      </c>
      <c r="K168" s="2" t="inlineStr">
        <is>
          <t>The tangent of the elevation is 1, so the sun is at 45 degrees above the horizon.</t>
        </is>
      </c>
      <c r="L168" s="2" t="n">
        <v>2</v>
      </c>
      <c r="M168" s="2" t="inlineStr">
        <is>
          <t>Maths_SecP1X_2026-27.pdf Page 5</t>
        </is>
      </c>
      <c r="N168" s="2" t="inlineStr">
        <is>
          <t>draft / unverified / REVIEW_PENDING</t>
        </is>
      </c>
      <c r="O168" s="3" t="inlineStr"/>
      <c r="P168" s="3" t="inlineStr"/>
      <c r="Q168" s="3" t="inlineStr"/>
      <c r="R168" s="3" t="inlineStr"/>
      <c r="S168" s="3" t="inlineStr"/>
      <c r="T168" s="3" t="inlineStr"/>
      <c r="U168" s="3" t="inlineStr"/>
    </row>
    <row r="169" ht="46" customHeight="1">
      <c r="A169" s="2" t="inlineStr">
        <is>
          <t>C10-2627-MATH-REQ034-DIAG-001</t>
        </is>
      </c>
      <c r="B169" s="2" t="inlineStr">
        <is>
          <t>Mathematics</t>
        </is>
      </c>
      <c r="C169" s="2" t="inlineStr">
        <is>
          <t>Mensuration</t>
        </is>
      </c>
      <c r="D169" s="2" t="inlineStr">
        <is>
          <t>Areas Related to Circles</t>
        </is>
      </c>
      <c r="E169" s="2" t="inlineStr">
        <is>
          <t>REQ_MATH_2026_034, REQ_MATH_2026_035</t>
        </is>
      </c>
      <c r="F169" s="2" t="inlineStr">
        <is>
          <t>LO_M11.1.1 — Calculate arc lengths, areas of sectors, and areas of segments of circles.</t>
        </is>
      </c>
      <c r="G169" s="2" t="inlineStr">
        <is>
          <t>Areas of Sector and Segment of a Circle</t>
        </is>
      </c>
      <c r="H169" s="2" t="inlineStr">
        <is>
          <t>Find the area of a sector of a circle of radius 6 cm with central angle 60 degrees. Take pi as 3.14.</t>
        </is>
      </c>
      <c r="I169" s="2" t="inlineStr">
        <is>
          <t>(constructed response)</t>
        </is>
      </c>
      <c r="J169" s="2" t="inlineStr">
        <is>
          <t>18.84 cm^2</t>
        </is>
      </c>
      <c r="K169" s="2" t="inlineStr">
        <is>
          <t>The sector area is (60/360) x pi x 6^2 = (1/6) x 3.14 x 36 = 18.84 cm^2.</t>
        </is>
      </c>
      <c r="L169" s="2" t="n">
        <v>2</v>
      </c>
      <c r="M169" s="2" t="inlineStr">
        <is>
          <t>Maths_SecP1X_2026-27.pdf Page 5</t>
        </is>
      </c>
      <c r="N169" s="2" t="inlineStr">
        <is>
          <t>draft / unverified / REVIEW_PENDING</t>
        </is>
      </c>
      <c r="O169" s="3" t="inlineStr"/>
      <c r="P169" s="3" t="inlineStr"/>
      <c r="Q169" s="3" t="inlineStr"/>
      <c r="R169" s="3" t="inlineStr"/>
      <c r="S169" s="3" t="inlineStr"/>
      <c r="T169" s="3" t="inlineStr"/>
      <c r="U169" s="3" t="inlineStr"/>
    </row>
    <row r="170" ht="46" customHeight="1">
      <c r="A170" s="2" t="inlineStr">
        <is>
          <t>C10-2627-MATH-REQ034-DIAG-002</t>
        </is>
      </c>
      <c r="B170" s="2" t="inlineStr">
        <is>
          <t>Mathematics</t>
        </is>
      </c>
      <c r="C170" s="2" t="inlineStr">
        <is>
          <t>Mensuration</t>
        </is>
      </c>
      <c r="D170" s="2" t="inlineStr">
        <is>
          <t>Areas Related to Circles</t>
        </is>
      </c>
      <c r="E170" s="2" t="inlineStr">
        <is>
          <t>REQ_MATH_2026_034, REQ_MATH_2026_035</t>
        </is>
      </c>
      <c r="F170" s="2" t="inlineStr">
        <is>
          <t>LO_M11.1.1 — Calculate arc lengths, areas of sectors, and areas of segments of circles.</t>
        </is>
      </c>
      <c r="G170" s="2" t="inlineStr">
        <is>
          <t>Areas of Sector and Segment of a Circle</t>
        </is>
      </c>
      <c r="H170" s="2" t="inlineStr">
        <is>
          <t>Find the length of the arc of a sector of radius 21 cm subtending 60 degrees at the centre. Take pi as 22/7.</t>
        </is>
      </c>
      <c r="I170" s="2" t="inlineStr">
        <is>
          <t>(constructed response)</t>
        </is>
      </c>
      <c r="J170" s="2" t="inlineStr">
        <is>
          <t>22 cm</t>
        </is>
      </c>
      <c r="K170" s="2" t="inlineStr">
        <is>
          <t>The arc length is (60/360) x 2 x 22/7 x 21 = 22 cm.</t>
        </is>
      </c>
      <c r="L170" s="2" t="n">
        <v>2</v>
      </c>
      <c r="M170" s="2" t="inlineStr">
        <is>
          <t>Maths_SecP1X_2026-27.pdf Page 5</t>
        </is>
      </c>
      <c r="N170" s="2" t="inlineStr">
        <is>
          <t>draft / unverified / REVIEW_PENDING</t>
        </is>
      </c>
      <c r="O170" s="3" t="inlineStr"/>
      <c r="P170" s="3" t="inlineStr"/>
      <c r="Q170" s="3" t="inlineStr"/>
      <c r="R170" s="3" t="inlineStr"/>
      <c r="S170" s="3" t="inlineStr"/>
      <c r="T170" s="3" t="inlineStr"/>
      <c r="U170" s="3" t="inlineStr"/>
    </row>
    <row r="171" ht="46" customHeight="1">
      <c r="A171" s="2" t="inlineStr">
        <is>
          <t>C10-2627-MATH-REQ034-DIAG-003</t>
        </is>
      </c>
      <c r="B171" s="2" t="inlineStr">
        <is>
          <t>Mathematics</t>
        </is>
      </c>
      <c r="C171" s="2" t="inlineStr">
        <is>
          <t>Mensuration</t>
        </is>
      </c>
      <c r="D171" s="2" t="inlineStr">
        <is>
          <t>Areas Related to Circles</t>
        </is>
      </c>
      <c r="E171" s="2" t="inlineStr">
        <is>
          <t>REQ_MATH_2026_034, REQ_MATH_2026_035</t>
        </is>
      </c>
      <c r="F171" s="2" t="inlineStr">
        <is>
          <t>LO_M11.1.1 — Calculate arc lengths, areas of sectors, and areas of segments of circles.</t>
        </is>
      </c>
      <c r="G171" s="2" t="inlineStr">
        <is>
          <t>Areas of Sector and Segment of a Circle</t>
        </is>
      </c>
      <c r="H171" s="2" t="inlineStr">
        <is>
          <t>The area of a quadrant of a circle of radius 14 cm, taking pi as 22/7, is</t>
        </is>
      </c>
      <c r="I171" s="2" t="inlineStr">
        <is>
          <t>A. 616 cm^2
B. 154 cm^2
C. 308 cm^2
D. 77 cm^2</t>
        </is>
      </c>
      <c r="J171" s="2" t="inlineStr">
        <is>
          <t>154 cm^2</t>
        </is>
      </c>
      <c r="K171" s="2" t="inlineStr">
        <is>
          <t>A quadrant is one fourth of the circle, so the area is (1/4) x 22/7 x 196 = 154 cm^2.</t>
        </is>
      </c>
      <c r="L171" s="2" t="n">
        <v>2</v>
      </c>
      <c r="M171" s="2" t="inlineStr">
        <is>
          <t>Maths_SecP1X_2026-27.pdf Page 5</t>
        </is>
      </c>
      <c r="N171" s="2" t="inlineStr">
        <is>
          <t>draft / unverified / REVIEW_PENDING</t>
        </is>
      </c>
      <c r="O171" s="3" t="inlineStr"/>
      <c r="P171" s="3" t="inlineStr"/>
      <c r="Q171" s="3" t="inlineStr"/>
      <c r="R171" s="3" t="inlineStr"/>
      <c r="S171" s="3" t="inlineStr"/>
      <c r="T171" s="3" t="inlineStr"/>
      <c r="U171" s="3" t="inlineStr"/>
    </row>
    <row r="172" ht="46" customHeight="1">
      <c r="A172" s="2" t="inlineStr">
        <is>
          <t>C10-2627-MATH-REQ034-DIAG-004</t>
        </is>
      </c>
      <c r="B172" s="2" t="inlineStr">
        <is>
          <t>Mathematics</t>
        </is>
      </c>
      <c r="C172" s="2" t="inlineStr">
        <is>
          <t>Mensuration</t>
        </is>
      </c>
      <c r="D172" s="2" t="inlineStr">
        <is>
          <t>Areas Related to Circles</t>
        </is>
      </c>
      <c r="E172" s="2" t="inlineStr">
        <is>
          <t>REQ_MATH_2026_034, REQ_MATH_2026_035</t>
        </is>
      </c>
      <c r="F172" s="2" t="inlineStr">
        <is>
          <t>LO_M11.1.1 — Calculate arc lengths, areas of sectors, and areas of segments of circles.</t>
        </is>
      </c>
      <c r="G172" s="2" t="inlineStr">
        <is>
          <t>Areas of Sector and Segment of a Circle</t>
        </is>
      </c>
      <c r="H172" s="2" t="inlineStr">
        <is>
          <t>The bob of a pendulum hangs on a rod 21 cm long and swings through an angle of 30 degrees, sweeping out a sector of a circle. Take pi as 22/7.
Find the area swept by the pendulum rod in one swing.</t>
        </is>
      </c>
      <c r="I172" s="2" t="inlineStr">
        <is>
          <t>(constructed response)</t>
        </is>
      </c>
      <c r="J172" s="2" t="inlineStr">
        <is>
          <t>115.5 cm^2</t>
        </is>
      </c>
      <c r="K172" s="2" t="inlineStr">
        <is>
          <t>The swept area is (30/360) x 22/7 x 21^2 = 115.5 cm^2.</t>
        </is>
      </c>
      <c r="L172" s="2" t="n">
        <v>3</v>
      </c>
      <c r="M172" s="2" t="inlineStr">
        <is>
          <t>Maths_SecP1X_2026-27.pdf Page 5</t>
        </is>
      </c>
      <c r="N172" s="2" t="inlineStr">
        <is>
          <t>draft / unverified / REVIEW_PENDING</t>
        </is>
      </c>
      <c r="O172" s="3" t="inlineStr"/>
      <c r="P172" s="3" t="inlineStr"/>
      <c r="Q172" s="3" t="inlineStr"/>
      <c r="R172" s="3" t="inlineStr"/>
      <c r="S172" s="3" t="inlineStr"/>
      <c r="T172" s="3" t="inlineStr"/>
      <c r="U172" s="3" t="inlineStr"/>
    </row>
    <row r="173" ht="46" customHeight="1">
      <c r="A173" s="2" t="inlineStr">
        <is>
          <t>C10-2627-MATH-REQ034-DIAG-005</t>
        </is>
      </c>
      <c r="B173" s="2" t="inlineStr">
        <is>
          <t>Mathematics</t>
        </is>
      </c>
      <c r="C173" s="2" t="inlineStr">
        <is>
          <t>Mensuration</t>
        </is>
      </c>
      <c r="D173" s="2" t="inlineStr">
        <is>
          <t>Areas Related to Circles</t>
        </is>
      </c>
      <c r="E173" s="2" t="inlineStr">
        <is>
          <t>REQ_MATH_2026_034, REQ_MATH_2026_035</t>
        </is>
      </c>
      <c r="F173" s="2" t="inlineStr">
        <is>
          <t>LO_M11.1.1 — Calculate arc lengths, areas of sectors, and areas of segments of circles.</t>
        </is>
      </c>
      <c r="G173" s="2" t="inlineStr">
        <is>
          <t>Areas of Sector and Segment of a Circle</t>
        </is>
      </c>
      <c r="H173" s="2" t="inlineStr">
        <is>
          <t>A chord subtends a right angle at the centre of a circle of radius 10 cm. Find the area of the corresponding minor segment. Take pi as 3.14.</t>
        </is>
      </c>
      <c r="I173" s="2" t="inlineStr">
        <is>
          <t>(constructed response)</t>
        </is>
      </c>
      <c r="J173" s="2" t="inlineStr">
        <is>
          <t>28.5 cm^2</t>
        </is>
      </c>
      <c r="K173" s="2" t="inlineStr">
        <is>
          <t>The quadrant area is 78.5 cm^2 and the right triangle formed by the two radii has area (1/2) x 10 x 10 = 50 cm^2, so the segment area is 28.5 cm^2.</t>
        </is>
      </c>
      <c r="L173" s="2" t="n">
        <v>4</v>
      </c>
      <c r="M173" s="2" t="inlineStr">
        <is>
          <t>Maths_SecP1X_2026-27.pdf Page 5</t>
        </is>
      </c>
      <c r="N173" s="2" t="inlineStr">
        <is>
          <t>draft / unverified / REVIEW_PENDING</t>
        </is>
      </c>
      <c r="O173" s="3" t="inlineStr"/>
      <c r="P173" s="3" t="inlineStr"/>
      <c r="Q173" s="3" t="inlineStr"/>
      <c r="R173" s="3" t="inlineStr"/>
      <c r="S173" s="3" t="inlineStr"/>
      <c r="T173" s="3" t="inlineStr"/>
      <c r="U173" s="3" t="inlineStr"/>
    </row>
    <row r="174" ht="46" customHeight="1">
      <c r="A174" s="2" t="inlineStr">
        <is>
          <t>C10-2627-MATH-REQ034-DIAG-006</t>
        </is>
      </c>
      <c r="B174" s="2" t="inlineStr">
        <is>
          <t>Mathematics</t>
        </is>
      </c>
      <c r="C174" s="2" t="inlineStr">
        <is>
          <t>Mensuration</t>
        </is>
      </c>
      <c r="D174" s="2" t="inlineStr">
        <is>
          <t>Areas Related to Circles</t>
        </is>
      </c>
      <c r="E174" s="2" t="inlineStr">
        <is>
          <t>REQ_MATH_2026_034, REQ_MATH_2026_035</t>
        </is>
      </c>
      <c r="F174" s="2" t="inlineStr">
        <is>
          <t>LO_M11.1.1 — Calculate arc lengths, areas of sectors, and areas of segments of circles.</t>
        </is>
      </c>
      <c r="G174" s="2" t="inlineStr">
        <is>
          <t>Areas of Sector and Segment of a Circle</t>
        </is>
      </c>
      <c r="H174" s="2" t="inlineStr">
        <is>
          <t>Assertion (A): Doubling the central angle of a sector doubles its area, provided the radius is unchanged.
Reason (R): The area of a sector is directly proportional to its central angle for a fixed radius.
Choose the correct option.</t>
        </is>
      </c>
      <c r="I174" s="2" t="inlineStr">
        <is>
          <t>A. Both A and R are true and R is the correct explanation of A.
B. Both A and R are true but R is not the correct explanation of A.
C. A is true but R is false.
D. A is false but R is true.</t>
        </is>
      </c>
      <c r="J174" s="2" t="inlineStr">
        <is>
          <t>Both A and R are true and R is the correct explanation of A.</t>
        </is>
      </c>
      <c r="K174" s="2" t="inlineStr">
        <is>
          <t>The sector area formula (theta/360) x pi r^2 is linear in theta, so doubling theta doubles the area.</t>
        </is>
      </c>
      <c r="L174" s="2" t="n">
        <v>2</v>
      </c>
      <c r="M174" s="2" t="inlineStr">
        <is>
          <t>Maths_SecP1X_2026-27.pdf Page 5</t>
        </is>
      </c>
      <c r="N174" s="2" t="inlineStr">
        <is>
          <t>draft / unverified / REVIEW_PENDING</t>
        </is>
      </c>
      <c r="O174" s="3" t="inlineStr"/>
      <c r="P174" s="3" t="inlineStr"/>
      <c r="Q174" s="3" t="inlineStr"/>
      <c r="R174" s="3" t="inlineStr"/>
      <c r="S174" s="3" t="inlineStr"/>
      <c r="T174" s="3" t="inlineStr"/>
      <c r="U174" s="3" t="inlineStr"/>
    </row>
    <row r="175" ht="46" customHeight="1">
      <c r="A175" s="2" t="inlineStr">
        <is>
          <t>C10-2627-MATH-REQ034-DIAG-007</t>
        </is>
      </c>
      <c r="B175" s="2" t="inlineStr">
        <is>
          <t>Mathematics</t>
        </is>
      </c>
      <c r="C175" s="2" t="inlineStr">
        <is>
          <t>Mensuration</t>
        </is>
      </c>
      <c r="D175" s="2" t="inlineStr">
        <is>
          <t>Areas Related to Circles</t>
        </is>
      </c>
      <c r="E175" s="2" t="inlineStr">
        <is>
          <t>REQ_MATH_2026_034, REQ_MATH_2026_035</t>
        </is>
      </c>
      <c r="F175" s="2" t="inlineStr">
        <is>
          <t>LO_M11.1.1 — Calculate arc lengths, areas of sectors, and areas of segments of circles.</t>
        </is>
      </c>
      <c r="G175" s="2" t="inlineStr">
        <is>
          <t>Areas of Sector and Segment of a Circle</t>
        </is>
      </c>
      <c r="H175" s="2" t="inlineStr">
        <is>
          <t>State whether the following is true or false, and justify in one line: The perimeter of a sector equals its arc length only.</t>
        </is>
      </c>
      <c r="I175" s="2" t="inlineStr">
        <is>
          <t>A. True
B. False</t>
        </is>
      </c>
      <c r="J175" s="2" t="inlineStr">
        <is>
          <t>False</t>
        </is>
      </c>
      <c r="K175" s="2" t="inlineStr">
        <is>
          <t>The perimeter of a sector is the arc length plus the two bounding radii.</t>
        </is>
      </c>
      <c r="L175" s="2" t="n">
        <v>2</v>
      </c>
      <c r="M175" s="2" t="inlineStr">
        <is>
          <t>Maths_SecP1X_2026-27.pdf Page 5</t>
        </is>
      </c>
      <c r="N175" s="2" t="inlineStr">
        <is>
          <t>draft / unverified / REVIEW_PENDING</t>
        </is>
      </c>
      <c r="O175" s="3" t="inlineStr"/>
      <c r="P175" s="3" t="inlineStr"/>
      <c r="Q175" s="3" t="inlineStr"/>
      <c r="R175" s="3" t="inlineStr"/>
      <c r="S175" s="3" t="inlineStr"/>
      <c r="T175" s="3" t="inlineStr"/>
      <c r="U175" s="3" t="inlineStr"/>
    </row>
    <row r="176" ht="46" customHeight="1">
      <c r="A176" s="2" t="inlineStr">
        <is>
          <t>C10-2627-MATH-REQ034-REASS-001</t>
        </is>
      </c>
      <c r="B176" s="2" t="inlineStr">
        <is>
          <t>Mathematics</t>
        </is>
      </c>
      <c r="C176" s="2" t="inlineStr">
        <is>
          <t>Mensuration</t>
        </is>
      </c>
      <c r="D176" s="2" t="inlineStr">
        <is>
          <t>Areas Related to Circles</t>
        </is>
      </c>
      <c r="E176" s="2" t="inlineStr">
        <is>
          <t>REQ_MATH_2026_034, REQ_MATH_2026_035</t>
        </is>
      </c>
      <c r="F176" s="2" t="inlineStr">
        <is>
          <t>LO_M11.1.1 — Calculate arc lengths, areas of sectors, and areas of segments of circles.</t>
        </is>
      </c>
      <c r="G176" s="2" t="inlineStr">
        <is>
          <t>Areas of Sector and Segment of a Circle</t>
        </is>
      </c>
      <c r="H176" s="2" t="inlineStr">
        <is>
          <t>Find the area of a sector of radius 7 cm with central angle 90 degrees. Take pi as 22/7.</t>
        </is>
      </c>
      <c r="I176" s="2" t="inlineStr">
        <is>
          <t>(constructed response)</t>
        </is>
      </c>
      <c r="J176" s="2" t="inlineStr">
        <is>
          <t>38.5 cm^2</t>
        </is>
      </c>
      <c r="K176" s="2" t="inlineStr">
        <is>
          <t>The area is (90/360) x 22/7 x 49 = 38.5 cm^2.</t>
        </is>
      </c>
      <c r="L176" s="2" t="n">
        <v>2</v>
      </c>
      <c r="M176" s="2" t="inlineStr">
        <is>
          <t>Maths_SecP1X_2026-27.pdf Page 5</t>
        </is>
      </c>
      <c r="N176" s="2" t="inlineStr">
        <is>
          <t>draft / unverified / REVIEW_PENDING</t>
        </is>
      </c>
      <c r="O176" s="3" t="inlineStr"/>
      <c r="P176" s="3" t="inlineStr"/>
      <c r="Q176" s="3" t="inlineStr"/>
      <c r="R176" s="3" t="inlineStr"/>
      <c r="S176" s="3" t="inlineStr"/>
      <c r="T176" s="3" t="inlineStr"/>
      <c r="U176" s="3" t="inlineStr"/>
    </row>
    <row r="177" ht="46" customHeight="1">
      <c r="A177" s="2" t="inlineStr">
        <is>
          <t>C10-2627-MATH-REQ034-REASS-002</t>
        </is>
      </c>
      <c r="B177" s="2" t="inlineStr">
        <is>
          <t>Mathematics</t>
        </is>
      </c>
      <c r="C177" s="2" t="inlineStr">
        <is>
          <t>Mensuration</t>
        </is>
      </c>
      <c r="D177" s="2" t="inlineStr">
        <is>
          <t>Areas Related to Circles</t>
        </is>
      </c>
      <c r="E177" s="2" t="inlineStr">
        <is>
          <t>REQ_MATH_2026_034, REQ_MATH_2026_035</t>
        </is>
      </c>
      <c r="F177" s="2" t="inlineStr">
        <is>
          <t>LO_M11.1.1 — Calculate arc lengths, areas of sectors, and areas of segments of circles.</t>
        </is>
      </c>
      <c r="G177" s="2" t="inlineStr">
        <is>
          <t>Areas of Sector and Segment of a Circle</t>
        </is>
      </c>
      <c r="H177" s="2" t="inlineStr">
        <is>
          <t>Find the length of an arc of radius 14 cm subtending 120 degrees at the centre. Take pi as 22/7.</t>
        </is>
      </c>
      <c r="I177" s="2" t="inlineStr">
        <is>
          <t>(constructed response)</t>
        </is>
      </c>
      <c r="J177" s="2" t="inlineStr">
        <is>
          <t>29.33 cm</t>
        </is>
      </c>
      <c r="K177" s="2" t="inlineStr">
        <is>
          <t>The arc length is (120/360) x 2 x 22/7 x 14 = 29.33 cm.</t>
        </is>
      </c>
      <c r="L177" s="2" t="n">
        <v>2</v>
      </c>
      <c r="M177" s="2" t="inlineStr">
        <is>
          <t>Maths_SecP1X_2026-27.pdf Page 5</t>
        </is>
      </c>
      <c r="N177" s="2" t="inlineStr">
        <is>
          <t>draft / unverified / REVIEW_PENDING</t>
        </is>
      </c>
      <c r="O177" s="3" t="inlineStr"/>
      <c r="P177" s="3" t="inlineStr"/>
      <c r="Q177" s="3" t="inlineStr"/>
      <c r="R177" s="3" t="inlineStr"/>
      <c r="S177" s="3" t="inlineStr"/>
      <c r="T177" s="3" t="inlineStr"/>
      <c r="U177" s="3" t="inlineStr"/>
    </row>
    <row r="178" ht="46" customHeight="1">
      <c r="A178" s="2" t="inlineStr">
        <is>
          <t>C10-2627-MATH-REQ034-REASS-003</t>
        </is>
      </c>
      <c r="B178" s="2" t="inlineStr">
        <is>
          <t>Mathematics</t>
        </is>
      </c>
      <c r="C178" s="2" t="inlineStr">
        <is>
          <t>Mensuration</t>
        </is>
      </c>
      <c r="D178" s="2" t="inlineStr">
        <is>
          <t>Areas Related to Circles</t>
        </is>
      </c>
      <c r="E178" s="2" t="inlineStr">
        <is>
          <t>REQ_MATH_2026_034, REQ_MATH_2026_035</t>
        </is>
      </c>
      <c r="F178" s="2" t="inlineStr">
        <is>
          <t>LO_M11.1.1 — Calculate arc lengths, areas of sectors, and areas of segments of circles.</t>
        </is>
      </c>
      <c r="G178" s="2" t="inlineStr">
        <is>
          <t>Areas of Sector and Segment of a Circle</t>
        </is>
      </c>
      <c r="H178" s="2" t="inlineStr">
        <is>
          <t>The area of a semicircle of radius 7 cm, taking pi as 22/7, is</t>
        </is>
      </c>
      <c r="I178" s="2" t="inlineStr">
        <is>
          <t>A. 38.5 cm^2
B. 22 cm^2
C. 77 cm^2
D. 154 cm^2</t>
        </is>
      </c>
      <c r="J178" s="2" t="inlineStr">
        <is>
          <t>77 cm^2</t>
        </is>
      </c>
      <c r="K178" s="2" t="inlineStr">
        <is>
          <t>A semicircle is half the circle, so the area is (1/2) x 22/7 x 49 = 77 cm^2.</t>
        </is>
      </c>
      <c r="L178" s="2" t="n">
        <v>1</v>
      </c>
      <c r="M178" s="2" t="inlineStr">
        <is>
          <t>Maths_SecP1X_2026-27.pdf Page 5</t>
        </is>
      </c>
      <c r="N178" s="2" t="inlineStr">
        <is>
          <t>draft / unverified / REVIEW_PENDING</t>
        </is>
      </c>
      <c r="O178" s="3" t="inlineStr"/>
      <c r="P178" s="3" t="inlineStr"/>
      <c r="Q178" s="3" t="inlineStr"/>
      <c r="R178" s="3" t="inlineStr"/>
      <c r="S178" s="3" t="inlineStr"/>
      <c r="T178" s="3" t="inlineStr"/>
      <c r="U178" s="3" t="inlineStr"/>
    </row>
    <row r="179" ht="46" customHeight="1">
      <c r="A179" s="2" t="inlineStr">
        <is>
          <t>C10-2627-MATH-REQ034-REASS-004</t>
        </is>
      </c>
      <c r="B179" s="2" t="inlineStr">
        <is>
          <t>Mathematics</t>
        </is>
      </c>
      <c r="C179" s="2" t="inlineStr">
        <is>
          <t>Mensuration</t>
        </is>
      </c>
      <c r="D179" s="2" t="inlineStr">
        <is>
          <t>Areas Related to Circles</t>
        </is>
      </c>
      <c r="E179" s="2" t="inlineStr">
        <is>
          <t>REQ_MATH_2026_034, REQ_MATH_2026_035</t>
        </is>
      </c>
      <c r="F179" s="2" t="inlineStr">
        <is>
          <t>LO_M11.1.1 — Calculate arc lengths, areas of sectors, and areas of segments of circles.</t>
        </is>
      </c>
      <c r="G179" s="2" t="inlineStr">
        <is>
          <t>Areas of Sector and Segment of a Circle</t>
        </is>
      </c>
      <c r="H179" s="2" t="inlineStr">
        <is>
          <t>A windscreen wiper blade sweeps a sector of a circle of radius 28 cm through an angle of 90 degrees on each stroke. Take pi as 22/7.
Find the total area cleaned by two such wiper blades in one stroke each.</t>
        </is>
      </c>
      <c r="I179" s="2" t="inlineStr">
        <is>
          <t>(constructed response)</t>
        </is>
      </c>
      <c r="J179" s="2" t="inlineStr">
        <is>
          <t>1232 cm^2</t>
        </is>
      </c>
      <c r="K179" s="2" t="inlineStr">
        <is>
          <t>One blade cleans (90/360) x 22/7 x 784 = 616 cm^2, so two blades clean 1232 cm^2.</t>
        </is>
      </c>
      <c r="L179" s="2" t="n">
        <v>4</v>
      </c>
      <c r="M179" s="2" t="inlineStr">
        <is>
          <t>Maths_SecP1X_2026-27.pdf Page 5</t>
        </is>
      </c>
      <c r="N179" s="2" t="inlineStr">
        <is>
          <t>draft / unverified / REVIEW_PENDING</t>
        </is>
      </c>
      <c r="O179" s="3" t="inlineStr"/>
      <c r="P179" s="3" t="inlineStr"/>
      <c r="Q179" s="3" t="inlineStr"/>
      <c r="R179" s="3" t="inlineStr"/>
      <c r="S179" s="3" t="inlineStr"/>
      <c r="T179" s="3" t="inlineStr"/>
      <c r="U179" s="3" t="inlineStr"/>
    </row>
    <row r="180" ht="46" customHeight="1">
      <c r="A180" s="2" t="inlineStr">
        <is>
          <t>C10-2627-MATH-REQ034-REASS-005</t>
        </is>
      </c>
      <c r="B180" s="2" t="inlineStr">
        <is>
          <t>Mathematics</t>
        </is>
      </c>
      <c r="C180" s="2" t="inlineStr">
        <is>
          <t>Mensuration</t>
        </is>
      </c>
      <c r="D180" s="2" t="inlineStr">
        <is>
          <t>Areas Related to Circles</t>
        </is>
      </c>
      <c r="E180" s="2" t="inlineStr">
        <is>
          <t>REQ_MATH_2026_034, REQ_MATH_2026_035</t>
        </is>
      </c>
      <c r="F180" s="2" t="inlineStr">
        <is>
          <t>LO_M11.1.1 — Calculate arc lengths, areas of sectors, and areas of segments of circles.</t>
        </is>
      </c>
      <c r="G180" s="2" t="inlineStr">
        <is>
          <t>Areas of Sector and Segment of a Circle</t>
        </is>
      </c>
      <c r="H180" s="2" t="inlineStr">
        <is>
          <t>A chord of a circle of radius 14 cm subtends a right angle at the centre. Find the area of the minor segment. Take pi as 22/7.</t>
        </is>
      </c>
      <c r="I180" s="2" t="inlineStr">
        <is>
          <t>(constructed response)</t>
        </is>
      </c>
      <c r="J180" s="2" t="inlineStr">
        <is>
          <t>56 cm^2</t>
        </is>
      </c>
      <c r="K180" s="2" t="inlineStr">
        <is>
          <t>The quadrant area is 154 cm^2 and the triangle area is (1/2) x 14 x 14 = 98 cm^2, so the segment area is 56 cm^2.</t>
        </is>
      </c>
      <c r="L180" s="2" t="n">
        <v>4</v>
      </c>
      <c r="M180" s="2" t="inlineStr">
        <is>
          <t>Maths_SecP1X_2026-27.pdf Page 5</t>
        </is>
      </c>
      <c r="N180" s="2" t="inlineStr">
        <is>
          <t>draft / unverified / REVIEW_PENDING</t>
        </is>
      </c>
      <c r="O180" s="3" t="inlineStr"/>
      <c r="P180" s="3" t="inlineStr"/>
      <c r="Q180" s="3" t="inlineStr"/>
      <c r="R180" s="3" t="inlineStr"/>
      <c r="S180" s="3" t="inlineStr"/>
      <c r="T180" s="3" t="inlineStr"/>
      <c r="U180" s="3" t="inlineStr"/>
    </row>
    <row r="181" ht="46" customHeight="1">
      <c r="A181" s="2" t="inlineStr">
        <is>
          <t>C10-2627-MATH-REQ034-REASS-006</t>
        </is>
      </c>
      <c r="B181" s="2" t="inlineStr">
        <is>
          <t>Mathematics</t>
        </is>
      </c>
      <c r="C181" s="2" t="inlineStr">
        <is>
          <t>Mensuration</t>
        </is>
      </c>
      <c r="D181" s="2" t="inlineStr">
        <is>
          <t>Areas Related to Circles</t>
        </is>
      </c>
      <c r="E181" s="2" t="inlineStr">
        <is>
          <t>REQ_MATH_2026_034, REQ_MATH_2026_035</t>
        </is>
      </c>
      <c r="F181" s="2" t="inlineStr">
        <is>
          <t>LO_M11.1.1 — Calculate arc lengths, areas of sectors, and areas of segments of circles.</t>
        </is>
      </c>
      <c r="G181" s="2" t="inlineStr">
        <is>
          <t>Areas of Sector and Segment of a Circle</t>
        </is>
      </c>
      <c r="H181" s="2" t="inlineStr">
        <is>
          <t>Find the perimeter of a sector of radius 21 cm with central angle 60 degrees. Take pi as 22/7.</t>
        </is>
      </c>
      <c r="I181" s="2" t="inlineStr">
        <is>
          <t>(constructed response)</t>
        </is>
      </c>
      <c r="J181" s="2" t="inlineStr">
        <is>
          <t>64 cm</t>
        </is>
      </c>
      <c r="K181" s="2" t="inlineStr">
        <is>
          <t>The arc is 22 cm and the two radii add 42 cm, so the perimeter is 64 cm.</t>
        </is>
      </c>
      <c r="L181" s="2" t="n">
        <v>3</v>
      </c>
      <c r="M181" s="2" t="inlineStr">
        <is>
          <t>Maths_SecP1X_2026-27.pdf Page 5</t>
        </is>
      </c>
      <c r="N181" s="2" t="inlineStr">
        <is>
          <t>draft / unverified / REVIEW_PENDING</t>
        </is>
      </c>
      <c r="O181" s="3" t="inlineStr"/>
      <c r="P181" s="3" t="inlineStr"/>
      <c r="Q181" s="3" t="inlineStr"/>
      <c r="R181" s="3" t="inlineStr"/>
      <c r="S181" s="3" t="inlineStr"/>
      <c r="T181" s="3" t="inlineStr"/>
      <c r="U181" s="3" t="inlineStr"/>
    </row>
    <row r="182" ht="46" customHeight="1">
      <c r="A182" s="2" t="inlineStr">
        <is>
          <t>C10-2627-MATH-REQ034-REASS-007</t>
        </is>
      </c>
      <c r="B182" s="2" t="inlineStr">
        <is>
          <t>Mathematics</t>
        </is>
      </c>
      <c r="C182" s="2" t="inlineStr">
        <is>
          <t>Mensuration</t>
        </is>
      </c>
      <c r="D182" s="2" t="inlineStr">
        <is>
          <t>Areas Related to Circles</t>
        </is>
      </c>
      <c r="E182" s="2" t="inlineStr">
        <is>
          <t>REQ_MATH_2026_034, REQ_MATH_2026_035</t>
        </is>
      </c>
      <c r="F182" s="2" t="inlineStr">
        <is>
          <t>LO_M11.1.1 — Calculate arc lengths, areas of sectors, and areas of segments of circles.</t>
        </is>
      </c>
      <c r="G182" s="2" t="inlineStr">
        <is>
          <t>Areas of Sector and Segment of a Circle</t>
        </is>
      </c>
      <c r="H182" s="2" t="inlineStr">
        <is>
          <t>Two sectors are cut from card, with pi taken as 22/7:
| Sector | Radius | Central angle |
| S1 | 7 cm | 120 degrees |
| S2 | 21 cm | 30 degrees |
Which sector has the greater area, and what is that area?</t>
        </is>
      </c>
      <c r="I182" s="2" t="inlineStr">
        <is>
          <t>(constructed response)</t>
        </is>
      </c>
      <c r="J182" s="2" t="inlineStr">
        <is>
          <t>S2, with an area of 115.5 cm^2</t>
        </is>
      </c>
      <c r="K182" s="2" t="inlineStr">
        <is>
          <t>S1 has area (120/360) x 22/7 x 49 = 51.33 cm^2 and S2 has area (30/360) x 22/7 x 441 = 115.5 cm^2, so S2 is larger.</t>
        </is>
      </c>
      <c r="L182" s="2" t="n">
        <v>3</v>
      </c>
      <c r="M182" s="2" t="inlineStr">
        <is>
          <t>Maths_SecP1X_2026-27.pdf Page 5</t>
        </is>
      </c>
      <c r="N182" s="2" t="inlineStr">
        <is>
          <t>draft / unverified / REVIEW_PENDING</t>
        </is>
      </c>
      <c r="O182" s="3" t="inlineStr"/>
      <c r="P182" s="3" t="inlineStr"/>
      <c r="Q182" s="3" t="inlineStr"/>
      <c r="R182" s="3" t="inlineStr"/>
      <c r="S182" s="3" t="inlineStr"/>
      <c r="T182" s="3" t="inlineStr"/>
      <c r="U182" s="3" t="inlineStr"/>
    </row>
    <row r="183" ht="46" customHeight="1">
      <c r="A183" s="2" t="inlineStr">
        <is>
          <t>C10-2627-MATH-REQ034-REASS-008</t>
        </is>
      </c>
      <c r="B183" s="2" t="inlineStr">
        <is>
          <t>Mathematics</t>
        </is>
      </c>
      <c r="C183" s="2" t="inlineStr">
        <is>
          <t>Mensuration</t>
        </is>
      </c>
      <c r="D183" s="2" t="inlineStr">
        <is>
          <t>Areas Related to Circles</t>
        </is>
      </c>
      <c r="E183" s="2" t="inlineStr">
        <is>
          <t>REQ_MATH_2026_034, REQ_MATH_2026_035</t>
        </is>
      </c>
      <c r="F183" s="2" t="inlineStr">
        <is>
          <t>LO_M11.1.1 — Calculate arc lengths, areas of sectors, and areas of segments of circles.</t>
        </is>
      </c>
      <c r="G183" s="2" t="inlineStr">
        <is>
          <t>Areas of Sector and Segment of a Circle</t>
        </is>
      </c>
      <c r="H183" s="2" t="inlineStr">
        <is>
          <t>Assertion (A): Doubling the radius of a sector while keeping the central angle fixed multiplies its area by four.
Reason (R): The area of a sector varies as the square of the radius for a fixed central angle.
Choose the correct option.</t>
        </is>
      </c>
      <c r="I183" s="2" t="inlineStr">
        <is>
          <t>A. Both A and R are true and R is the correct explanation of A.
B. Both A and R are true but R is not the correct explanation of A.
C. A is true but R is false.
D. A is false but R is true.</t>
        </is>
      </c>
      <c r="J183" s="2" t="inlineStr">
        <is>
          <t>Both A and R are true and R is the correct explanation of A.</t>
        </is>
      </c>
      <c r="K183" s="2" t="inlineStr">
        <is>
          <t>The formula (theta/360) x pi r^2 is quadratic in r, so doubling r multiplies the area by 2^2 = 4.</t>
        </is>
      </c>
      <c r="L183" s="2" t="n">
        <v>3</v>
      </c>
      <c r="M183" s="2" t="inlineStr">
        <is>
          <t>Maths_SecP1X_2026-27.pdf Page 5</t>
        </is>
      </c>
      <c r="N183" s="2" t="inlineStr">
        <is>
          <t>draft / unverified / REVIEW_PENDING</t>
        </is>
      </c>
      <c r="O183" s="3" t="inlineStr"/>
      <c r="P183" s="3" t="inlineStr"/>
      <c r="Q183" s="3" t="inlineStr"/>
      <c r="R183" s="3" t="inlineStr"/>
      <c r="S183" s="3" t="inlineStr"/>
      <c r="T183" s="3" t="inlineStr"/>
      <c r="U183" s="3" t="inlineStr"/>
    </row>
    <row r="184" ht="46" customHeight="1">
      <c r="A184" s="2" t="inlineStr">
        <is>
          <t>C10-2627-MATH-REQ034-REASS-009</t>
        </is>
      </c>
      <c r="B184" s="2" t="inlineStr">
        <is>
          <t>Mathematics</t>
        </is>
      </c>
      <c r="C184" s="2" t="inlineStr">
        <is>
          <t>Mensuration</t>
        </is>
      </c>
      <c r="D184" s="2" t="inlineStr">
        <is>
          <t>Areas Related to Circles</t>
        </is>
      </c>
      <c r="E184" s="2" t="inlineStr">
        <is>
          <t>REQ_MATH_2026_034, REQ_MATH_2026_035</t>
        </is>
      </c>
      <c r="F184" s="2" t="inlineStr">
        <is>
          <t>LO_M11.1.1 — Calculate arc lengths, areas of sectors, and areas of segments of circles.</t>
        </is>
      </c>
      <c r="G184" s="2" t="inlineStr">
        <is>
          <t>Areas of Sector and Segment of a Circle</t>
        </is>
      </c>
      <c r="H184" s="2" t="inlineStr">
        <is>
          <t>State whether the following is true or false, and justify in one line: The major segment of a circle always has a larger area than the minor segment cut off by the same chord.</t>
        </is>
      </c>
      <c r="I184" s="2" t="inlineStr">
        <is>
          <t>A. True
B. False</t>
        </is>
      </c>
      <c r="J184" s="2" t="inlineStr">
        <is>
          <t>True</t>
        </is>
      </c>
      <c r="K184" s="2" t="inlineStr">
        <is>
          <t>The chord splits the disc into two parts, and by definition the major segment is the larger of the two.</t>
        </is>
      </c>
      <c r="L184" s="2" t="n">
        <v>2</v>
      </c>
      <c r="M184" s="2" t="inlineStr">
        <is>
          <t>Maths_SecP1X_2026-27.pdf Page 5</t>
        </is>
      </c>
      <c r="N184" s="2" t="inlineStr">
        <is>
          <t>draft / unverified / REVIEW_PENDING</t>
        </is>
      </c>
      <c r="O184" s="3" t="inlineStr"/>
      <c r="P184" s="3" t="inlineStr"/>
      <c r="Q184" s="3" t="inlineStr"/>
      <c r="R184" s="3" t="inlineStr"/>
      <c r="S184" s="3" t="inlineStr"/>
      <c r="T184" s="3" t="inlineStr"/>
      <c r="U184" s="3" t="inlineStr"/>
    </row>
    <row r="185" ht="46" customHeight="1">
      <c r="A185" s="2" t="inlineStr">
        <is>
          <t>C10-2627-MATH-REQ034-REASS-010</t>
        </is>
      </c>
      <c r="B185" s="2" t="inlineStr">
        <is>
          <t>Mathematics</t>
        </is>
      </c>
      <c r="C185" s="2" t="inlineStr">
        <is>
          <t>Mensuration</t>
        </is>
      </c>
      <c r="D185" s="2" t="inlineStr">
        <is>
          <t>Areas Related to Circles</t>
        </is>
      </c>
      <c r="E185" s="2" t="inlineStr">
        <is>
          <t>REQ_MATH_2026_034, REQ_MATH_2026_035</t>
        </is>
      </c>
      <c r="F185" s="2" t="inlineStr">
        <is>
          <t>LO_M11.1.1 — Calculate arc lengths, areas of sectors, and areas of segments of circles.</t>
        </is>
      </c>
      <c r="G185" s="2" t="inlineStr">
        <is>
          <t>Areas of Sector and Segment of a Circle</t>
        </is>
      </c>
      <c r="H185" s="2" t="inlineStr">
        <is>
          <t>A sector of a circle of radius 6 cm has area 9.42 cm^2. Taking pi as 3.14, its central angle is</t>
        </is>
      </c>
      <c r="I185" s="2" t="inlineStr">
        <is>
          <t>A. 90 degrees
B. 30 degrees
C. 45 degrees
D. 60 degrees</t>
        </is>
      </c>
      <c r="J185" s="2" t="inlineStr">
        <is>
          <t>30 degrees</t>
        </is>
      </c>
      <c r="K185" s="2" t="inlineStr">
        <is>
          <t>Solving (theta/360) x 3.14 x 36 = 9.42 gives theta = 30 degrees.</t>
        </is>
      </c>
      <c r="L185" s="2" t="n">
        <v>3</v>
      </c>
      <c r="M185" s="2" t="inlineStr">
        <is>
          <t>Maths_SecP1X_2026-27.pdf Page 5</t>
        </is>
      </c>
      <c r="N185" s="2" t="inlineStr">
        <is>
          <t>draft / unverified / REVIEW_PENDING</t>
        </is>
      </c>
      <c r="O185" s="3" t="inlineStr"/>
      <c r="P185" s="3" t="inlineStr"/>
      <c r="Q185" s="3" t="inlineStr"/>
      <c r="R185" s="3" t="inlineStr"/>
      <c r="S185" s="3" t="inlineStr"/>
      <c r="T185" s="3" t="inlineStr"/>
      <c r="U185" s="3" t="inlineStr"/>
    </row>
    <row r="186" ht="46" customHeight="1">
      <c r="A186" s="2" t="inlineStr">
        <is>
          <t>C10-2627-MATH-REQ036-DIAG-001</t>
        </is>
      </c>
      <c r="B186" s="2" t="inlineStr">
        <is>
          <t>Mathematics</t>
        </is>
      </c>
      <c r="C186" s="2" t="inlineStr">
        <is>
          <t>Mensuration</t>
        </is>
      </c>
      <c r="D186" s="2" t="inlineStr">
        <is>
          <t>Surface Areas and Volumes</t>
        </is>
      </c>
      <c r="E186" s="2" t="inlineStr">
        <is>
          <t>REQ_MATH_2026_036</t>
        </is>
      </c>
      <c r="F186" s="2" t="inlineStr">
        <is>
          <t>LO_M12.1.1 — Determine surface areas and volumes of combinations of basic 3D solids (cubes, cuboids, spheres, hemispheres, cylinders, cones).</t>
        </is>
      </c>
      <c r="G186" s="2" t="inlineStr">
        <is>
          <t>Surface Area and Volume of Combinations of Solids</t>
        </is>
      </c>
      <c r="H186" s="2" t="inlineStr">
        <is>
          <t>Find the volume of a solid hemisphere of radius 3.5 cm. Take pi as 22/7.</t>
        </is>
      </c>
      <c r="I186" s="2" t="inlineStr">
        <is>
          <t>(constructed response)</t>
        </is>
      </c>
      <c r="J186" s="2" t="inlineStr">
        <is>
          <t>89.83 cm^3</t>
        </is>
      </c>
      <c r="K186" s="2" t="inlineStr">
        <is>
          <t>The volume is (2/3) x 22/7 x 3.5^3 = 89.83 cm^3 to two decimal places.</t>
        </is>
      </c>
      <c r="L186" s="2" t="n">
        <v>2</v>
      </c>
      <c r="M186" s="2" t="inlineStr">
        <is>
          <t>Maths_SecP1X_2026-27.pdf Page 5</t>
        </is>
      </c>
      <c r="N186" s="2" t="inlineStr">
        <is>
          <t>draft / unverified / REVIEW_PENDING</t>
        </is>
      </c>
      <c r="O186" s="3" t="inlineStr"/>
      <c r="P186" s="3" t="inlineStr"/>
      <c r="Q186" s="3" t="inlineStr"/>
      <c r="R186" s="3" t="inlineStr"/>
      <c r="S186" s="3" t="inlineStr"/>
      <c r="T186" s="3" t="inlineStr"/>
      <c r="U186" s="3" t="inlineStr"/>
    </row>
    <row r="187" ht="46" customHeight="1">
      <c r="A187" s="2" t="inlineStr">
        <is>
          <t>C10-2627-MATH-REQ036-DIAG-002</t>
        </is>
      </c>
      <c r="B187" s="2" t="inlineStr">
        <is>
          <t>Mathematics</t>
        </is>
      </c>
      <c r="C187" s="2" t="inlineStr">
        <is>
          <t>Mensuration</t>
        </is>
      </c>
      <c r="D187" s="2" t="inlineStr">
        <is>
          <t>Surface Areas and Volumes</t>
        </is>
      </c>
      <c r="E187" s="2" t="inlineStr">
        <is>
          <t>REQ_MATH_2026_036</t>
        </is>
      </c>
      <c r="F187" s="2" t="inlineStr">
        <is>
          <t>LO_M12.1.1 — Determine surface areas and volumes of combinations of basic 3D solids (cubes, cuboids, spheres, hemispheres, cylinders, cones).</t>
        </is>
      </c>
      <c r="G187" s="2" t="inlineStr">
        <is>
          <t>Surface Area and Volume of Combinations of Solids</t>
        </is>
      </c>
      <c r="H187" s="2" t="inlineStr">
        <is>
          <t>Find the volume of a right circular cone of base radius 3 cm and height 4 cm. Take pi as 3.14.</t>
        </is>
      </c>
      <c r="I187" s="2" t="inlineStr">
        <is>
          <t>(constructed response)</t>
        </is>
      </c>
      <c r="J187" s="2" t="inlineStr">
        <is>
          <t>37.68 cm^3</t>
        </is>
      </c>
      <c r="K187" s="2" t="inlineStr">
        <is>
          <t>The volume is (1/3) x 3.14 x 9 x 4 = 37.68 cm^3.</t>
        </is>
      </c>
      <c r="L187" s="2" t="n">
        <v>2</v>
      </c>
      <c r="M187" s="2" t="inlineStr">
        <is>
          <t>Maths_SecP1X_2026-27.pdf Page 5</t>
        </is>
      </c>
      <c r="N187" s="2" t="inlineStr">
        <is>
          <t>draft / unverified / REVIEW_PENDING</t>
        </is>
      </c>
      <c r="O187" s="3" t="inlineStr"/>
      <c r="P187" s="3" t="inlineStr"/>
      <c r="Q187" s="3" t="inlineStr"/>
      <c r="R187" s="3" t="inlineStr"/>
      <c r="S187" s="3" t="inlineStr"/>
      <c r="T187" s="3" t="inlineStr"/>
      <c r="U187" s="3" t="inlineStr"/>
    </row>
    <row r="188" ht="46" customHeight="1">
      <c r="A188" s="2" t="inlineStr">
        <is>
          <t>C10-2627-MATH-REQ036-DIAG-003</t>
        </is>
      </c>
      <c r="B188" s="2" t="inlineStr">
        <is>
          <t>Mathematics</t>
        </is>
      </c>
      <c r="C188" s="2" t="inlineStr">
        <is>
          <t>Mensuration</t>
        </is>
      </c>
      <c r="D188" s="2" t="inlineStr">
        <is>
          <t>Surface Areas and Volumes</t>
        </is>
      </c>
      <c r="E188" s="2" t="inlineStr">
        <is>
          <t>REQ_MATH_2026_036</t>
        </is>
      </c>
      <c r="F188" s="2" t="inlineStr">
        <is>
          <t>LO_M12.1.1 — Determine surface areas and volumes of combinations of basic 3D solids (cubes, cuboids, spheres, hemispheres, cylinders, cones).</t>
        </is>
      </c>
      <c r="G188" s="2" t="inlineStr">
        <is>
          <t>Surface Area and Volume of Combinations of Solids</t>
        </is>
      </c>
      <c r="H188" s="2" t="inlineStr">
        <is>
          <t>The surface area of a sphere of radius 7 cm, taking pi as 22/7, is</t>
        </is>
      </c>
      <c r="I188" s="2" t="inlineStr">
        <is>
          <t>A. 1232 cm^2
B. 616 cm^2
C. 154 cm^2
D. 308 cm^2</t>
        </is>
      </c>
      <c r="J188" s="2" t="inlineStr">
        <is>
          <t>616 cm^2</t>
        </is>
      </c>
      <c r="K188" s="2" t="inlineStr">
        <is>
          <t>The surface area is 4 x 22/7 x 49 = 616 cm^2.</t>
        </is>
      </c>
      <c r="L188" s="2" t="n">
        <v>2</v>
      </c>
      <c r="M188" s="2" t="inlineStr">
        <is>
          <t>Maths_SecP1X_2026-27.pdf Page 5</t>
        </is>
      </c>
      <c r="N188" s="2" t="inlineStr">
        <is>
          <t>draft / unverified / REVIEW_PENDING</t>
        </is>
      </c>
      <c r="O188" s="3" t="inlineStr"/>
      <c r="P188" s="3" t="inlineStr"/>
      <c r="Q188" s="3" t="inlineStr"/>
      <c r="R188" s="3" t="inlineStr"/>
      <c r="S188" s="3" t="inlineStr"/>
      <c r="T188" s="3" t="inlineStr"/>
      <c r="U188" s="3" t="inlineStr"/>
    </row>
    <row r="189" ht="46" customHeight="1">
      <c r="A189" s="2" t="inlineStr">
        <is>
          <t>C10-2627-MATH-REQ036-DIAG-004</t>
        </is>
      </c>
      <c r="B189" s="2" t="inlineStr">
        <is>
          <t>Mathematics</t>
        </is>
      </c>
      <c r="C189" s="2" t="inlineStr">
        <is>
          <t>Mensuration</t>
        </is>
      </c>
      <c r="D189" s="2" t="inlineStr">
        <is>
          <t>Surface Areas and Volumes</t>
        </is>
      </c>
      <c r="E189" s="2" t="inlineStr">
        <is>
          <t>REQ_MATH_2026_036</t>
        </is>
      </c>
      <c r="F189" s="2" t="inlineStr">
        <is>
          <t>LO_M12.1.1 — Determine surface areas and volumes of combinations of basic 3D solids (cubes, cuboids, spheres, hemispheres, cylinders, cones).</t>
        </is>
      </c>
      <c r="G189" s="2" t="inlineStr">
        <is>
          <t>Surface Area and Volume of Combinations of Solids</t>
        </is>
      </c>
      <c r="H189" s="2" t="inlineStr">
        <is>
          <t>A wooden toy is made by mounting a cone of height 4 cm exactly on the flat face of a hemisphere of the same radius 3 cm. Take pi as 3.14.
Find the total volume of the toy.</t>
        </is>
      </c>
      <c r="I189" s="2" t="inlineStr">
        <is>
          <t>(constructed response)</t>
        </is>
      </c>
      <c r="J189" s="2" t="inlineStr">
        <is>
          <t>94.2 cm^3</t>
        </is>
      </c>
      <c r="K189" s="2" t="inlineStr">
        <is>
          <t>The cone contributes 37.68 cm^3 and the hemisphere contributes (2/3) x 3.14 x 27 = 56.52 cm^3, giving 94.2 cm^3 in total.</t>
        </is>
      </c>
      <c r="L189" s="2" t="n">
        <v>4</v>
      </c>
      <c r="M189" s="2" t="inlineStr">
        <is>
          <t>Maths_SecP1X_2026-27.pdf Page 5</t>
        </is>
      </c>
      <c r="N189" s="2" t="inlineStr">
        <is>
          <t>draft / unverified / REVIEW_PENDING</t>
        </is>
      </c>
      <c r="O189" s="3" t="inlineStr"/>
      <c r="P189" s="3" t="inlineStr"/>
      <c r="Q189" s="3" t="inlineStr"/>
      <c r="R189" s="3" t="inlineStr"/>
      <c r="S189" s="3" t="inlineStr"/>
      <c r="T189" s="3" t="inlineStr"/>
      <c r="U189" s="3" t="inlineStr"/>
    </row>
    <row r="190" ht="46" customHeight="1">
      <c r="A190" s="2" t="inlineStr">
        <is>
          <t>C10-2627-MATH-REQ036-DIAG-005</t>
        </is>
      </c>
      <c r="B190" s="2" t="inlineStr">
        <is>
          <t>Mathematics</t>
        </is>
      </c>
      <c r="C190" s="2" t="inlineStr">
        <is>
          <t>Mensuration</t>
        </is>
      </c>
      <c r="D190" s="2" t="inlineStr">
        <is>
          <t>Surface Areas and Volumes</t>
        </is>
      </c>
      <c r="E190" s="2" t="inlineStr">
        <is>
          <t>REQ_MATH_2026_036</t>
        </is>
      </c>
      <c r="F190" s="2" t="inlineStr">
        <is>
          <t>LO_M12.1.1 — Determine surface areas and volumes of combinations of basic 3D solids (cubes, cuboids, spheres, hemispheres, cylinders, cones).</t>
        </is>
      </c>
      <c r="G190" s="2" t="inlineStr">
        <is>
          <t>Surface Area and Volume of Combinations of Solids</t>
        </is>
      </c>
      <c r="H190" s="2" t="inlineStr">
        <is>
          <t>Find the curved surface area of a cylinder of radius 7 cm and height 10 cm. Take pi as 22/7.</t>
        </is>
      </c>
      <c r="I190" s="2" t="inlineStr">
        <is>
          <t>(constructed response)</t>
        </is>
      </c>
      <c r="J190" s="2" t="inlineStr">
        <is>
          <t>440 cm^2</t>
        </is>
      </c>
      <c r="K190" s="2" t="inlineStr">
        <is>
          <t>The curved surface area is 2 x 22/7 x 7 x 10 = 440 cm^2.</t>
        </is>
      </c>
      <c r="L190" s="2" t="n">
        <v>2</v>
      </c>
      <c r="M190" s="2" t="inlineStr">
        <is>
          <t>Maths_SecP1X_2026-27.pdf Page 5</t>
        </is>
      </c>
      <c r="N190" s="2" t="inlineStr">
        <is>
          <t>draft / unverified / REVIEW_PENDING</t>
        </is>
      </c>
      <c r="O190" s="3" t="inlineStr"/>
      <c r="P190" s="3" t="inlineStr"/>
      <c r="Q190" s="3" t="inlineStr"/>
      <c r="R190" s="3" t="inlineStr"/>
      <c r="S190" s="3" t="inlineStr"/>
      <c r="T190" s="3" t="inlineStr"/>
      <c r="U190" s="3" t="inlineStr"/>
    </row>
    <row r="191" ht="46" customHeight="1">
      <c r="A191" s="2" t="inlineStr">
        <is>
          <t>C10-2627-MATH-REQ036-DIAG-006</t>
        </is>
      </c>
      <c r="B191" s="2" t="inlineStr">
        <is>
          <t>Mathematics</t>
        </is>
      </c>
      <c r="C191" s="2" t="inlineStr">
        <is>
          <t>Mensuration</t>
        </is>
      </c>
      <c r="D191" s="2" t="inlineStr">
        <is>
          <t>Surface Areas and Volumes</t>
        </is>
      </c>
      <c r="E191" s="2" t="inlineStr">
        <is>
          <t>REQ_MATH_2026_036</t>
        </is>
      </c>
      <c r="F191" s="2" t="inlineStr">
        <is>
          <t>LO_M12.1.1 — Determine surface areas and volumes of combinations of basic 3D solids (cubes, cuboids, spheres, hemispheres, cylinders, cones).</t>
        </is>
      </c>
      <c r="G191" s="2" t="inlineStr">
        <is>
          <t>Surface Area and Volume of Combinations of Solids</t>
        </is>
      </c>
      <c r="H191" s="2" t="inlineStr">
        <is>
          <t>Assertion (A): When two solids are joined, the total surface area is generally less than the sum of their separate surface areas.
Reason (R): The surfaces in contact at the join are no longer exposed.
Choose the correct option.</t>
        </is>
      </c>
      <c r="I191" s="2" t="inlineStr">
        <is>
          <t>A. Both A and R are true and R is the correct explanation of A.
B. Both A and R are true but R is not the correct explanation of A.
C. A is true but R is false.
D. A is false but R is true.</t>
        </is>
      </c>
      <c r="J191" s="2" t="inlineStr">
        <is>
          <t>Both A and R are true and R is the correct explanation of A.</t>
        </is>
      </c>
      <c r="K191" s="2" t="inlineStr">
        <is>
          <t>The joined faces are hidden inside the composite solid, so their areas are excluded from the total surface area.</t>
        </is>
      </c>
      <c r="L191" s="2" t="n">
        <v>3</v>
      </c>
      <c r="M191" s="2" t="inlineStr">
        <is>
          <t>Maths_SecP1X_2026-27.pdf Page 5</t>
        </is>
      </c>
      <c r="N191" s="2" t="inlineStr">
        <is>
          <t>draft / unverified / REVIEW_PENDING</t>
        </is>
      </c>
      <c r="O191" s="3" t="inlineStr"/>
      <c r="P191" s="3" t="inlineStr"/>
      <c r="Q191" s="3" t="inlineStr"/>
      <c r="R191" s="3" t="inlineStr"/>
      <c r="S191" s="3" t="inlineStr"/>
      <c r="T191" s="3" t="inlineStr"/>
      <c r="U191" s="3" t="inlineStr"/>
    </row>
    <row r="192" ht="46" customHeight="1">
      <c r="A192" s="2" t="inlineStr">
        <is>
          <t>C10-2627-MATH-REQ036-DIAG-007</t>
        </is>
      </c>
      <c r="B192" s="2" t="inlineStr">
        <is>
          <t>Mathematics</t>
        </is>
      </c>
      <c r="C192" s="2" t="inlineStr">
        <is>
          <t>Mensuration</t>
        </is>
      </c>
      <c r="D192" s="2" t="inlineStr">
        <is>
          <t>Surface Areas and Volumes</t>
        </is>
      </c>
      <c r="E192" s="2" t="inlineStr">
        <is>
          <t>REQ_MATH_2026_036</t>
        </is>
      </c>
      <c r="F192" s="2" t="inlineStr">
        <is>
          <t>LO_M12.1.1 — Determine surface areas and volumes of combinations of basic 3D solids (cubes, cuboids, spheres, hemispheres, cylinders, cones).</t>
        </is>
      </c>
      <c r="G192" s="2" t="inlineStr">
        <is>
          <t>Surface Area and Volume of Combinations of Solids</t>
        </is>
      </c>
      <c r="H192" s="2" t="inlineStr">
        <is>
          <t>State whether the following is true or false, and justify in one line: When a solid is recast into another shape, its volume remains unchanged if no material is lost.</t>
        </is>
      </c>
      <c r="I192" s="2" t="inlineStr">
        <is>
          <t>A. True
B. False</t>
        </is>
      </c>
      <c r="J192" s="2" t="inlineStr">
        <is>
          <t>True</t>
        </is>
      </c>
      <c r="K192" s="2" t="inlineStr">
        <is>
          <t>Recasting only changes shape, so the amount of material and therefore the volume is conserved.</t>
        </is>
      </c>
      <c r="L192" s="2" t="n">
        <v>2</v>
      </c>
      <c r="M192" s="2" t="inlineStr">
        <is>
          <t>Maths_SecP1X_2026-27.pdf Page 5</t>
        </is>
      </c>
      <c r="N192" s="2" t="inlineStr">
        <is>
          <t>draft / unverified / REVIEW_PENDING</t>
        </is>
      </c>
      <c r="O192" s="3" t="inlineStr"/>
      <c r="P192" s="3" t="inlineStr"/>
      <c r="Q192" s="3" t="inlineStr"/>
      <c r="R192" s="3" t="inlineStr"/>
      <c r="S192" s="3" t="inlineStr"/>
      <c r="T192" s="3" t="inlineStr"/>
      <c r="U192" s="3" t="inlineStr"/>
    </row>
    <row r="193" ht="46" customHeight="1">
      <c r="A193" s="2" t="inlineStr">
        <is>
          <t>C10-2627-MATH-REQ036-REASS-001</t>
        </is>
      </c>
      <c r="B193" s="2" t="inlineStr">
        <is>
          <t>Mathematics</t>
        </is>
      </c>
      <c r="C193" s="2" t="inlineStr">
        <is>
          <t>Mensuration</t>
        </is>
      </c>
      <c r="D193" s="2" t="inlineStr">
        <is>
          <t>Surface Areas and Volumes</t>
        </is>
      </c>
      <c r="E193" s="2" t="inlineStr">
        <is>
          <t>REQ_MATH_2026_036</t>
        </is>
      </c>
      <c r="F193" s="2" t="inlineStr">
        <is>
          <t>LO_M12.1.1 — Determine surface areas and volumes of combinations of basic 3D solids (cubes, cuboids, spheres, hemispheres, cylinders, cones).</t>
        </is>
      </c>
      <c r="G193" s="2" t="inlineStr">
        <is>
          <t>Surface Area and Volume of Combinations of Solids</t>
        </is>
      </c>
      <c r="H193" s="2" t="inlineStr">
        <is>
          <t>Find the volume of a sphere of radius 21 cm. Take pi as 22/7.</t>
        </is>
      </c>
      <c r="I193" s="2" t="inlineStr">
        <is>
          <t>(constructed response)</t>
        </is>
      </c>
      <c r="J193" s="2" t="inlineStr">
        <is>
          <t>38808 cm^3</t>
        </is>
      </c>
      <c r="K193" s="2" t="inlineStr">
        <is>
          <t>The volume is (4/3) x 22/7 x 9261 = 38808 cm^3.</t>
        </is>
      </c>
      <c r="L193" s="2" t="n">
        <v>2</v>
      </c>
      <c r="M193" s="2" t="inlineStr">
        <is>
          <t>Maths_SecP1X_2026-27.pdf Page 5</t>
        </is>
      </c>
      <c r="N193" s="2" t="inlineStr">
        <is>
          <t>draft / unverified / REVIEW_PENDING</t>
        </is>
      </c>
      <c r="O193" s="3" t="inlineStr"/>
      <c r="P193" s="3" t="inlineStr"/>
      <c r="Q193" s="3" t="inlineStr"/>
      <c r="R193" s="3" t="inlineStr"/>
      <c r="S193" s="3" t="inlineStr"/>
      <c r="T193" s="3" t="inlineStr"/>
      <c r="U193" s="3" t="inlineStr"/>
    </row>
    <row r="194" ht="46" customHeight="1">
      <c r="A194" s="2" t="inlineStr">
        <is>
          <t>C10-2627-MATH-REQ036-REASS-002</t>
        </is>
      </c>
      <c r="B194" s="2" t="inlineStr">
        <is>
          <t>Mathematics</t>
        </is>
      </c>
      <c r="C194" s="2" t="inlineStr">
        <is>
          <t>Mensuration</t>
        </is>
      </c>
      <c r="D194" s="2" t="inlineStr">
        <is>
          <t>Surface Areas and Volumes</t>
        </is>
      </c>
      <c r="E194" s="2" t="inlineStr">
        <is>
          <t>REQ_MATH_2026_036</t>
        </is>
      </c>
      <c r="F194" s="2" t="inlineStr">
        <is>
          <t>LO_M12.1.1 — Determine surface areas and volumes of combinations of basic 3D solids (cubes, cuboids, spheres, hemispheres, cylinders, cones).</t>
        </is>
      </c>
      <c r="G194" s="2" t="inlineStr">
        <is>
          <t>Surface Area and Volume of Combinations of Solids</t>
        </is>
      </c>
      <c r="H194" s="2" t="inlineStr">
        <is>
          <t>A cone has base radius 5 cm and height 12 cm. Find its curved surface area. Take pi as 3.14.</t>
        </is>
      </c>
      <c r="I194" s="2" t="inlineStr">
        <is>
          <t>(constructed response)</t>
        </is>
      </c>
      <c r="J194" s="2" t="inlineStr">
        <is>
          <t>204.1 cm^2</t>
        </is>
      </c>
      <c r="K194" s="2" t="inlineStr">
        <is>
          <t>The slant height is root(25 + 144) = 13 cm, so the curved surface area is 3.14 x 5 x 13 = 204.1 cm^2.</t>
        </is>
      </c>
      <c r="L194" s="2" t="n">
        <v>3</v>
      </c>
      <c r="M194" s="2" t="inlineStr">
        <is>
          <t>Maths_SecP1X_2026-27.pdf Page 5</t>
        </is>
      </c>
      <c r="N194" s="2" t="inlineStr">
        <is>
          <t>draft / unverified / REVIEW_PENDING</t>
        </is>
      </c>
      <c r="O194" s="3" t="inlineStr"/>
      <c r="P194" s="3" t="inlineStr"/>
      <c r="Q194" s="3" t="inlineStr"/>
      <c r="R194" s="3" t="inlineStr"/>
      <c r="S194" s="3" t="inlineStr"/>
      <c r="T194" s="3" t="inlineStr"/>
      <c r="U194" s="3" t="inlineStr"/>
    </row>
    <row r="195" ht="46" customHeight="1">
      <c r="A195" s="2" t="inlineStr">
        <is>
          <t>C10-2627-MATH-REQ036-REASS-003</t>
        </is>
      </c>
      <c r="B195" s="2" t="inlineStr">
        <is>
          <t>Mathematics</t>
        </is>
      </c>
      <c r="C195" s="2" t="inlineStr">
        <is>
          <t>Mensuration</t>
        </is>
      </c>
      <c r="D195" s="2" t="inlineStr">
        <is>
          <t>Surface Areas and Volumes</t>
        </is>
      </c>
      <c r="E195" s="2" t="inlineStr">
        <is>
          <t>REQ_MATH_2026_036</t>
        </is>
      </c>
      <c r="F195" s="2" t="inlineStr">
        <is>
          <t>LO_M12.1.1 — Determine surface areas and volumes of combinations of basic 3D solids (cubes, cuboids, spheres, hemispheres, cylinders, cones).</t>
        </is>
      </c>
      <c r="G195" s="2" t="inlineStr">
        <is>
          <t>Surface Area and Volume of Combinations of Solids</t>
        </is>
      </c>
      <c r="H195" s="2" t="inlineStr">
        <is>
          <t>The total surface area of a solid hemisphere of radius 7 cm, taking pi as 22/7, is</t>
        </is>
      </c>
      <c r="I195" s="2" t="inlineStr">
        <is>
          <t>A. 154 cm^2
B. 616 cm^2
C. 462 cm^2
D. 308 cm^2</t>
        </is>
      </c>
      <c r="J195" s="2" t="inlineStr">
        <is>
          <t>462 cm^2</t>
        </is>
      </c>
      <c r="K195" s="2" t="inlineStr">
        <is>
          <t>The total surface area is 3 x 22/7 x 49 = 462 cm^2, being the curved surface plus the flat circular face.</t>
        </is>
      </c>
      <c r="L195" s="2" t="n">
        <v>2</v>
      </c>
      <c r="M195" s="2" t="inlineStr">
        <is>
          <t>Maths_SecP1X_2026-27.pdf Page 5</t>
        </is>
      </c>
      <c r="N195" s="2" t="inlineStr">
        <is>
          <t>draft / unverified / REVIEW_PENDING</t>
        </is>
      </c>
      <c r="O195" s="3" t="inlineStr"/>
      <c r="P195" s="3" t="inlineStr"/>
      <c r="Q195" s="3" t="inlineStr"/>
      <c r="R195" s="3" t="inlineStr"/>
      <c r="S195" s="3" t="inlineStr"/>
      <c r="T195" s="3" t="inlineStr"/>
      <c r="U195" s="3" t="inlineStr"/>
    </row>
    <row r="196" ht="46" customHeight="1">
      <c r="A196" s="2" t="inlineStr">
        <is>
          <t>C10-2627-MATH-REQ036-REASS-004</t>
        </is>
      </c>
      <c r="B196" s="2" t="inlineStr">
        <is>
          <t>Mathematics</t>
        </is>
      </c>
      <c r="C196" s="2" t="inlineStr">
        <is>
          <t>Mensuration</t>
        </is>
      </c>
      <c r="D196" s="2" t="inlineStr">
        <is>
          <t>Surface Areas and Volumes</t>
        </is>
      </c>
      <c r="E196" s="2" t="inlineStr">
        <is>
          <t>REQ_MATH_2026_036</t>
        </is>
      </c>
      <c r="F196" s="2" t="inlineStr">
        <is>
          <t>LO_M12.1.1 — Determine surface areas and volumes of combinations of basic 3D solids (cubes, cuboids, spheres, hemispheres, cylinders, cones).</t>
        </is>
      </c>
      <c r="G196" s="2" t="inlineStr">
        <is>
          <t>Surface Area and Volume of Combinations of Solids</t>
        </is>
      </c>
      <c r="H196" s="2" t="inlineStr">
        <is>
          <t>A medicine capsule is shaped as a cylinder of length 9 mm with a hemisphere of the same radius 2.5 mm attached at each end. Take pi as 3.14.
Find the total volume of the capsule.</t>
        </is>
      </c>
      <c r="I196" s="2" t="inlineStr">
        <is>
          <t>(constructed response)</t>
        </is>
      </c>
      <c r="J196" s="2" t="inlineStr">
        <is>
          <t>242.04 mm^3</t>
        </is>
      </c>
      <c r="K196" s="2" t="inlineStr">
        <is>
          <t>The cylinder holds 3.14 x 6.25 x 9 = 176.63 mm^3 and the two hemispheres together form a sphere of volume (4/3) x 3.14 x 15.625 = 65.42 mm^3, giving about 242.04 mm^3.</t>
        </is>
      </c>
      <c r="L196" s="2" t="n">
        <v>4</v>
      </c>
      <c r="M196" s="2" t="inlineStr">
        <is>
          <t>Maths_SecP1X_2026-27.pdf Page 5</t>
        </is>
      </c>
      <c r="N196" s="2" t="inlineStr">
        <is>
          <t>draft / unverified / REVIEW_PENDING</t>
        </is>
      </c>
      <c r="O196" s="3" t="inlineStr"/>
      <c r="P196" s="3" t="inlineStr"/>
      <c r="Q196" s="3" t="inlineStr"/>
      <c r="R196" s="3" t="inlineStr"/>
      <c r="S196" s="3" t="inlineStr"/>
      <c r="T196" s="3" t="inlineStr"/>
      <c r="U196" s="3" t="inlineStr"/>
    </row>
    <row r="197" ht="46" customHeight="1">
      <c r="A197" s="2" t="inlineStr">
        <is>
          <t>C10-2627-MATH-REQ036-REASS-005</t>
        </is>
      </c>
      <c r="B197" s="2" t="inlineStr">
        <is>
          <t>Mathematics</t>
        </is>
      </c>
      <c r="C197" s="2" t="inlineStr">
        <is>
          <t>Mensuration</t>
        </is>
      </c>
      <c r="D197" s="2" t="inlineStr">
        <is>
          <t>Surface Areas and Volumes</t>
        </is>
      </c>
      <c r="E197" s="2" t="inlineStr">
        <is>
          <t>REQ_MATH_2026_036</t>
        </is>
      </c>
      <c r="F197" s="2" t="inlineStr">
        <is>
          <t>LO_M12.1.1 — Determine surface areas and volumes of combinations of basic 3D solids (cubes, cuboids, spheres, hemispheres, cylinders, cones).</t>
        </is>
      </c>
      <c r="G197" s="2" t="inlineStr">
        <is>
          <t>Surface Area and Volume of Combinations of Solids</t>
        </is>
      </c>
      <c r="H197" s="2" t="inlineStr">
        <is>
          <t>A solid metallic sphere of radius 6 cm is melted and recast into a right circular cylinder of base radius 4 cm. Find the height of the cylinder.</t>
        </is>
      </c>
      <c r="I197" s="2" t="inlineStr">
        <is>
          <t>(constructed response)</t>
        </is>
      </c>
      <c r="J197" s="2" t="inlineStr">
        <is>
          <t>18 cm</t>
        </is>
      </c>
      <c r="K197" s="2" t="inlineStr">
        <is>
          <t>Volume is conserved, so (4/3) pi 216 = pi 16 h, giving 288 = 16h and h = 18 cm.</t>
        </is>
      </c>
      <c r="L197" s="2" t="n">
        <v>4</v>
      </c>
      <c r="M197" s="2" t="inlineStr">
        <is>
          <t>Maths_SecP1X_2026-27.pdf Page 5</t>
        </is>
      </c>
      <c r="N197" s="2" t="inlineStr">
        <is>
          <t>draft / unverified / REVIEW_PENDING</t>
        </is>
      </c>
      <c r="O197" s="3" t="inlineStr"/>
      <c r="P197" s="3" t="inlineStr"/>
      <c r="Q197" s="3" t="inlineStr"/>
      <c r="R197" s="3" t="inlineStr"/>
      <c r="S197" s="3" t="inlineStr"/>
      <c r="T197" s="3" t="inlineStr"/>
      <c r="U197" s="3" t="inlineStr"/>
    </row>
    <row r="198" ht="46" customHeight="1">
      <c r="A198" s="2" t="inlineStr">
        <is>
          <t>C10-2627-MATH-REQ036-REASS-006</t>
        </is>
      </c>
      <c r="B198" s="2" t="inlineStr">
        <is>
          <t>Mathematics</t>
        </is>
      </c>
      <c r="C198" s="2" t="inlineStr">
        <is>
          <t>Mensuration</t>
        </is>
      </c>
      <c r="D198" s="2" t="inlineStr">
        <is>
          <t>Surface Areas and Volumes</t>
        </is>
      </c>
      <c r="E198" s="2" t="inlineStr">
        <is>
          <t>REQ_MATH_2026_036</t>
        </is>
      </c>
      <c r="F198" s="2" t="inlineStr">
        <is>
          <t>LO_M12.1.1 — Determine surface areas and volumes of combinations of basic 3D solids (cubes, cuboids, spheres, hemispheres, cylinders, cones).</t>
        </is>
      </c>
      <c r="G198" s="2" t="inlineStr">
        <is>
          <t>Surface Area and Volume of Combinations of Solids</t>
        </is>
      </c>
      <c r="H198" s="2" t="inlineStr">
        <is>
          <t>Find the volume of a cylinder of radius 3.5 cm and height 8 cm. Take pi as 22/7.</t>
        </is>
      </c>
      <c r="I198" s="2" t="inlineStr">
        <is>
          <t>(constructed response)</t>
        </is>
      </c>
      <c r="J198" s="2" t="inlineStr">
        <is>
          <t>308 cm^3</t>
        </is>
      </c>
      <c r="K198" s="2" t="inlineStr">
        <is>
          <t>The volume is 22/7 x 12.25 x 8 = 308 cm^3.</t>
        </is>
      </c>
      <c r="L198" s="2" t="n">
        <v>2</v>
      </c>
      <c r="M198" s="2" t="inlineStr">
        <is>
          <t>Maths_SecP1X_2026-27.pdf Page 5</t>
        </is>
      </c>
      <c r="N198" s="2" t="inlineStr">
        <is>
          <t>draft / unverified / REVIEW_PENDING</t>
        </is>
      </c>
      <c r="O198" s="3" t="inlineStr"/>
      <c r="P198" s="3" t="inlineStr"/>
      <c r="Q198" s="3" t="inlineStr"/>
      <c r="R198" s="3" t="inlineStr"/>
      <c r="S198" s="3" t="inlineStr"/>
      <c r="T198" s="3" t="inlineStr"/>
      <c r="U198" s="3" t="inlineStr"/>
    </row>
    <row r="199" ht="46" customHeight="1">
      <c r="A199" s="2" t="inlineStr">
        <is>
          <t>C10-2627-MATH-REQ036-REASS-007</t>
        </is>
      </c>
      <c r="B199" s="2" t="inlineStr">
        <is>
          <t>Mathematics</t>
        </is>
      </c>
      <c r="C199" s="2" t="inlineStr">
        <is>
          <t>Mensuration</t>
        </is>
      </c>
      <c r="D199" s="2" t="inlineStr">
        <is>
          <t>Surface Areas and Volumes</t>
        </is>
      </c>
      <c r="E199" s="2" t="inlineStr">
        <is>
          <t>REQ_MATH_2026_036</t>
        </is>
      </c>
      <c r="F199" s="2" t="inlineStr">
        <is>
          <t>LO_M12.1.1 — Determine surface areas and volumes of combinations of basic 3D solids (cubes, cuboids, spheres, hemispheres, cylinders, cones).</t>
        </is>
      </c>
      <c r="G199" s="2" t="inlineStr">
        <is>
          <t>Surface Area and Volume of Combinations of Solids</t>
        </is>
      </c>
      <c r="H199" s="2" t="inlineStr">
        <is>
          <t>Two containers are compared, with pi taken as 3.14:
| Container | Shape | Dimensions |
| C1 | Cylinder | radius 5 cm, height 10 cm |
| C2 | Cone | radius 5 cm, height 10 cm |
How many times the volume of C2 is the volume of C1?</t>
        </is>
      </c>
      <c r="I199" s="2" t="inlineStr">
        <is>
          <t>(constructed response)</t>
        </is>
      </c>
      <c r="J199" s="2" t="inlineStr">
        <is>
          <t>3 times</t>
        </is>
      </c>
      <c r="K199" s="2" t="inlineStr">
        <is>
          <t>The cone volume is one third of the cylinder volume for the same base and height, so C1 holds three times as much.</t>
        </is>
      </c>
      <c r="L199" s="2" t="n">
        <v>3</v>
      </c>
      <c r="M199" s="2" t="inlineStr">
        <is>
          <t>Maths_SecP1X_2026-27.pdf Page 5</t>
        </is>
      </c>
      <c r="N199" s="2" t="inlineStr">
        <is>
          <t>draft / unverified / REVIEW_PENDING</t>
        </is>
      </c>
      <c r="O199" s="3" t="inlineStr"/>
      <c r="P199" s="3" t="inlineStr"/>
      <c r="Q199" s="3" t="inlineStr"/>
      <c r="R199" s="3" t="inlineStr"/>
      <c r="S199" s="3" t="inlineStr"/>
      <c r="T199" s="3" t="inlineStr"/>
      <c r="U199" s="3" t="inlineStr"/>
    </row>
    <row r="200" ht="46" customHeight="1">
      <c r="A200" s="2" t="inlineStr">
        <is>
          <t>C10-2627-MATH-REQ036-REASS-008</t>
        </is>
      </c>
      <c r="B200" s="2" t="inlineStr">
        <is>
          <t>Mathematics</t>
        </is>
      </c>
      <c r="C200" s="2" t="inlineStr">
        <is>
          <t>Mensuration</t>
        </is>
      </c>
      <c r="D200" s="2" t="inlineStr">
        <is>
          <t>Surface Areas and Volumes</t>
        </is>
      </c>
      <c r="E200" s="2" t="inlineStr">
        <is>
          <t>REQ_MATH_2026_036</t>
        </is>
      </c>
      <c r="F200" s="2" t="inlineStr">
        <is>
          <t>LO_M12.1.1 — Determine surface areas and volumes of combinations of basic 3D solids (cubes, cuboids, spheres, hemispheres, cylinders, cones).</t>
        </is>
      </c>
      <c r="G200" s="2" t="inlineStr">
        <is>
          <t>Surface Area and Volume of Combinations of Solids</t>
        </is>
      </c>
      <c r="H200" s="2" t="inlineStr">
        <is>
          <t>Assertion (A): Doubling the radius of a sphere multiplies its volume by eight.
Reason (R): The volume of a sphere varies as the cube of its radius.
Choose the correct option.</t>
        </is>
      </c>
      <c r="I200" s="2" t="inlineStr">
        <is>
          <t>A. Both A and R are true and R is the correct explanation of A.
B. Both A and R are true but R is not the correct explanation of A.
C. A is true but R is false.
D. A is false but R is true.</t>
        </is>
      </c>
      <c r="J200" s="2" t="inlineStr">
        <is>
          <t>Both A and R are true and R is the correct explanation of A.</t>
        </is>
      </c>
      <c r="K200" s="2" t="inlineStr">
        <is>
          <t>Since V = (4/3) pi r^3, replacing r by 2r multiplies the volume by 2^3 = 8.</t>
        </is>
      </c>
      <c r="L200" s="2" t="n">
        <v>3</v>
      </c>
      <c r="M200" s="2" t="inlineStr">
        <is>
          <t>Maths_SecP1X_2026-27.pdf Page 5</t>
        </is>
      </c>
      <c r="N200" s="2" t="inlineStr">
        <is>
          <t>draft / unverified / REVIEW_PENDING</t>
        </is>
      </c>
      <c r="O200" s="3" t="inlineStr"/>
      <c r="P200" s="3" t="inlineStr"/>
      <c r="Q200" s="3" t="inlineStr"/>
      <c r="R200" s="3" t="inlineStr"/>
      <c r="S200" s="3" t="inlineStr"/>
      <c r="T200" s="3" t="inlineStr"/>
      <c r="U200" s="3" t="inlineStr"/>
    </row>
    <row r="201" ht="46" customHeight="1">
      <c r="A201" s="2" t="inlineStr">
        <is>
          <t>C10-2627-MATH-REQ036-REASS-009</t>
        </is>
      </c>
      <c r="B201" s="2" t="inlineStr">
        <is>
          <t>Mathematics</t>
        </is>
      </c>
      <c r="C201" s="2" t="inlineStr">
        <is>
          <t>Mensuration</t>
        </is>
      </c>
      <c r="D201" s="2" t="inlineStr">
        <is>
          <t>Surface Areas and Volumes</t>
        </is>
      </c>
      <c r="E201" s="2" t="inlineStr">
        <is>
          <t>REQ_MATH_2026_036</t>
        </is>
      </c>
      <c r="F201" s="2" t="inlineStr">
        <is>
          <t>LO_M12.1.1 — Determine surface areas and volumes of combinations of basic 3D solids (cubes, cuboids, spheres, hemispheres, cylinders, cones).</t>
        </is>
      </c>
      <c r="G201" s="2" t="inlineStr">
        <is>
          <t>Surface Area and Volume of Combinations of Solids</t>
        </is>
      </c>
      <c r="H201" s="2" t="inlineStr">
        <is>
          <t>State whether the following is true or false, and justify in one line: When a hemisphere is fixed on the flat top of a cylinder of the same radius, the flat circular face of the cylinder is still counted in the total surface area.</t>
        </is>
      </c>
      <c r="I201" s="2" t="inlineStr">
        <is>
          <t>A. True
B. False</t>
        </is>
      </c>
      <c r="J201" s="2" t="inlineStr">
        <is>
          <t>False</t>
        </is>
      </c>
      <c r="K201" s="2" t="inlineStr">
        <is>
          <t>That face is covered by the hemisphere, so it is no longer an exposed surface and is excluded.</t>
        </is>
      </c>
      <c r="L201" s="2" t="n">
        <v>2</v>
      </c>
      <c r="M201" s="2" t="inlineStr">
        <is>
          <t>Maths_SecP1X_2026-27.pdf Page 5</t>
        </is>
      </c>
      <c r="N201" s="2" t="inlineStr">
        <is>
          <t>draft / unverified / REVIEW_PENDING</t>
        </is>
      </c>
      <c r="O201" s="3" t="inlineStr"/>
      <c r="P201" s="3" t="inlineStr"/>
      <c r="Q201" s="3" t="inlineStr"/>
      <c r="R201" s="3" t="inlineStr"/>
      <c r="S201" s="3" t="inlineStr"/>
      <c r="T201" s="3" t="inlineStr"/>
      <c r="U201" s="3" t="inlineStr"/>
    </row>
    <row r="202" ht="46" customHeight="1">
      <c r="A202" s="2" t="inlineStr">
        <is>
          <t>C10-2627-MATH-REQ036-REASS-010</t>
        </is>
      </c>
      <c r="B202" s="2" t="inlineStr">
        <is>
          <t>Mathematics</t>
        </is>
      </c>
      <c r="C202" s="2" t="inlineStr">
        <is>
          <t>Mensuration</t>
        </is>
      </c>
      <c r="D202" s="2" t="inlineStr">
        <is>
          <t>Surface Areas and Volumes</t>
        </is>
      </c>
      <c r="E202" s="2" t="inlineStr">
        <is>
          <t>REQ_MATH_2026_036</t>
        </is>
      </c>
      <c r="F202" s="2" t="inlineStr">
        <is>
          <t>LO_M12.1.1 — Determine surface areas and volumes of combinations of basic 3D solids (cubes, cuboids, spheres, hemispheres, cylinders, cones).</t>
        </is>
      </c>
      <c r="G202" s="2" t="inlineStr">
        <is>
          <t>Surface Area and Volume of Combinations of Solids</t>
        </is>
      </c>
      <c r="H202" s="2" t="inlineStr">
        <is>
          <t>A solid sphere of the largest possible size is carved from a cube of edge 14 cm. The radius of the sphere is</t>
        </is>
      </c>
      <c r="I202" s="2" t="inlineStr">
        <is>
          <t>A. 14 cm
B. 10.5 cm
C. 3.5 cm
D. 7 cm</t>
        </is>
      </c>
      <c r="J202" s="2" t="inlineStr">
        <is>
          <t>7 cm</t>
        </is>
      </c>
      <c r="K202" s="2" t="inlineStr">
        <is>
          <t>The largest inscribed sphere has diameter equal to the edge of the cube, so its radius is 14/2 = 7 cm.</t>
        </is>
      </c>
      <c r="L202" s="2" t="n">
        <v>3</v>
      </c>
      <c r="M202" s="2" t="inlineStr">
        <is>
          <t>Maths_SecP1X_2026-27.pdf Page 5</t>
        </is>
      </c>
      <c r="N202" s="2" t="inlineStr">
        <is>
          <t>draft / unverified / REVIEW_PENDING</t>
        </is>
      </c>
      <c r="O202" s="3" t="inlineStr"/>
      <c r="P202" s="3" t="inlineStr"/>
      <c r="Q202" s="3" t="inlineStr"/>
      <c r="R202" s="3" t="inlineStr"/>
      <c r="S202" s="3" t="inlineStr"/>
      <c r="T202" s="3" t="inlineStr"/>
      <c r="U202" s="3" t="inlineStr"/>
    </row>
    <row r="203" ht="46" customHeight="1">
      <c r="A203" s="2" t="inlineStr">
        <is>
          <t>C10-2627-MATH-REQ037-DIAG-001</t>
        </is>
      </c>
      <c r="B203" s="2" t="inlineStr">
        <is>
          <t>Mathematics</t>
        </is>
      </c>
      <c r="C203" s="2" t="inlineStr">
        <is>
          <t>Statistics &amp; Probability</t>
        </is>
      </c>
      <c r="D203" s="2" t="inlineStr">
        <is>
          <t>Statistics</t>
        </is>
      </c>
      <c r="E203" s="2" t="inlineStr">
        <is>
          <t>REQ_MATH_2026_037</t>
        </is>
      </c>
      <c r="F203" s="2" t="inlineStr">
        <is>
          <t>LO_M13.1.1 — Calculate Mean, Median, and Mode of grouped data and apply empirical relationship.</t>
        </is>
      </c>
      <c r="G203" s="2" t="inlineStr">
        <is>
          <t>Mean, Median, and Mode of Grouped Data</t>
        </is>
      </c>
      <c r="H203" s="2" t="inlineStr">
        <is>
          <t>Marks obtained by 20 students:
| Class | Frequency |
| 0-10 | 4 |
| 10-20 | 6 |
| 20-30 | 7 |
| 30-40 | 3 |
Find the mean marks using the direct method.</t>
        </is>
      </c>
      <c r="I203" s="2" t="inlineStr">
        <is>
          <t>(constructed response)</t>
        </is>
      </c>
      <c r="J203" s="2" t="inlineStr">
        <is>
          <t>19.5</t>
        </is>
      </c>
      <c r="K203" s="2" t="inlineStr">
        <is>
          <t>The class marks are 5, 15, 25 and 35, so the sum of f x is 20 + 90 + 175 + 105 = 390 and the mean is 390/20 = 19.5.</t>
        </is>
      </c>
      <c r="L203" s="2" t="n">
        <v>3</v>
      </c>
      <c r="M203" s="2" t="inlineStr">
        <is>
          <t>Maths_SecP1X_2026-27.pdf Page 5</t>
        </is>
      </c>
      <c r="N203" s="2" t="inlineStr">
        <is>
          <t>draft / unverified / REVIEW_PENDING</t>
        </is>
      </c>
      <c r="O203" s="3" t="inlineStr"/>
      <c r="P203" s="3" t="inlineStr"/>
      <c r="Q203" s="3" t="inlineStr"/>
      <c r="R203" s="3" t="inlineStr"/>
      <c r="S203" s="3" t="inlineStr"/>
      <c r="T203" s="3" t="inlineStr"/>
      <c r="U203" s="3" t="inlineStr"/>
    </row>
    <row r="204" ht="46" customHeight="1">
      <c r="A204" s="2" t="inlineStr">
        <is>
          <t>C10-2627-MATH-REQ037-DIAG-002</t>
        </is>
      </c>
      <c r="B204" s="2" t="inlineStr">
        <is>
          <t>Mathematics</t>
        </is>
      </c>
      <c r="C204" s="2" t="inlineStr">
        <is>
          <t>Statistics &amp; Probability</t>
        </is>
      </c>
      <c r="D204" s="2" t="inlineStr">
        <is>
          <t>Statistics</t>
        </is>
      </c>
      <c r="E204" s="2" t="inlineStr">
        <is>
          <t>REQ_MATH_2026_037</t>
        </is>
      </c>
      <c r="F204" s="2" t="inlineStr">
        <is>
          <t>LO_M13.1.1 — Calculate Mean, Median, and Mode of grouped data and apply empirical relationship.</t>
        </is>
      </c>
      <c r="G204" s="2" t="inlineStr">
        <is>
          <t>Mean, Median, and Mode of Grouped Data</t>
        </is>
      </c>
      <c r="H204" s="2" t="inlineStr">
        <is>
          <t>For a moderately skewed distribution the mean is 30 and the median is 28. Estimate the mode using the empirical relationship.</t>
        </is>
      </c>
      <c r="I204" s="2" t="inlineStr">
        <is>
          <t>(constructed response)</t>
        </is>
      </c>
      <c r="J204" s="2" t="inlineStr">
        <is>
          <t>24</t>
        </is>
      </c>
      <c r="K204" s="2" t="inlineStr">
        <is>
          <t>The empirical relationship gives Mode = 3 x Median - 2 x Mean = 84 - 60 = 24.</t>
        </is>
      </c>
      <c r="L204" s="2" t="n">
        <v>2</v>
      </c>
      <c r="M204" s="2" t="inlineStr">
        <is>
          <t>Maths_SecP1X_2026-27.pdf Page 5</t>
        </is>
      </c>
      <c r="N204" s="2" t="inlineStr">
        <is>
          <t>draft / unverified / REVIEW_PENDING</t>
        </is>
      </c>
      <c r="O204" s="3" t="inlineStr"/>
      <c r="P204" s="3" t="inlineStr"/>
      <c r="Q204" s="3" t="inlineStr"/>
      <c r="R204" s="3" t="inlineStr"/>
      <c r="S204" s="3" t="inlineStr"/>
      <c r="T204" s="3" t="inlineStr"/>
      <c r="U204" s="3" t="inlineStr"/>
    </row>
    <row r="205" ht="46" customHeight="1">
      <c r="A205" s="2" t="inlineStr">
        <is>
          <t>C10-2627-MATH-REQ037-DIAG-003</t>
        </is>
      </c>
      <c r="B205" s="2" t="inlineStr">
        <is>
          <t>Mathematics</t>
        </is>
      </c>
      <c r="C205" s="2" t="inlineStr">
        <is>
          <t>Statistics &amp; Probability</t>
        </is>
      </c>
      <c r="D205" s="2" t="inlineStr">
        <is>
          <t>Statistics</t>
        </is>
      </c>
      <c r="E205" s="2" t="inlineStr">
        <is>
          <t>REQ_MATH_2026_037</t>
        </is>
      </c>
      <c r="F205" s="2" t="inlineStr">
        <is>
          <t>LO_M13.1.1 — Calculate Mean, Median, and Mode of grouped data and apply empirical relationship.</t>
        </is>
      </c>
      <c r="G205" s="2" t="inlineStr">
        <is>
          <t>Mean, Median, and Mode of Grouped Data</t>
        </is>
      </c>
      <c r="H205" s="2" t="inlineStr">
        <is>
          <t>The class mark of the class interval 25-35 is</t>
        </is>
      </c>
      <c r="I205" s="2" t="inlineStr">
        <is>
          <t>A. 10
B. 30
C. 25
D. 35</t>
        </is>
      </c>
      <c r="J205" s="2" t="inlineStr">
        <is>
          <t>30</t>
        </is>
      </c>
      <c r="K205" s="2" t="inlineStr">
        <is>
          <t>The class mark is the average of the limits, (25 + 35)/2 = 30.</t>
        </is>
      </c>
      <c r="L205" s="2" t="n">
        <v>1</v>
      </c>
      <c r="M205" s="2" t="inlineStr">
        <is>
          <t>Maths_SecP1X_2026-27.pdf Page 5</t>
        </is>
      </c>
      <c r="N205" s="2" t="inlineStr">
        <is>
          <t>draft / unverified / REVIEW_PENDING</t>
        </is>
      </c>
      <c r="O205" s="3" t="inlineStr"/>
      <c r="P205" s="3" t="inlineStr"/>
      <c r="Q205" s="3" t="inlineStr"/>
      <c r="R205" s="3" t="inlineStr"/>
      <c r="S205" s="3" t="inlineStr"/>
      <c r="T205" s="3" t="inlineStr"/>
      <c r="U205" s="3" t="inlineStr"/>
    </row>
    <row r="206" ht="46" customHeight="1">
      <c r="A206" s="2" t="inlineStr">
        <is>
          <t>C10-2627-MATH-REQ037-DIAG-004</t>
        </is>
      </c>
      <c r="B206" s="2" t="inlineStr">
        <is>
          <t>Mathematics</t>
        </is>
      </c>
      <c r="C206" s="2" t="inlineStr">
        <is>
          <t>Statistics &amp; Probability</t>
        </is>
      </c>
      <c r="D206" s="2" t="inlineStr">
        <is>
          <t>Statistics</t>
        </is>
      </c>
      <c r="E206" s="2" t="inlineStr">
        <is>
          <t>REQ_MATH_2026_037</t>
        </is>
      </c>
      <c r="F206" s="2" t="inlineStr">
        <is>
          <t>LO_M13.1.1 — Calculate Mean, Median, and Mode of grouped data and apply empirical relationship.</t>
        </is>
      </c>
      <c r="G206" s="2" t="inlineStr">
        <is>
          <t>Mean, Median, and Mode of Grouped Data</t>
        </is>
      </c>
      <c r="H206" s="2" t="inlineStr">
        <is>
          <t>A grouped distribution of 40 observations:
| Class | Frequency |
| 0-10 | 5 |
| 10-20 | 12 |
| 20-30 | 15 |
| 30-40 | 8 |
Identify the median class and state the cumulative frequency just before it.</t>
        </is>
      </c>
      <c r="I206" s="2" t="inlineStr">
        <is>
          <t>(constructed response)</t>
        </is>
      </c>
      <c r="J206" s="2" t="inlineStr">
        <is>
          <t>The median class is 20-30, with a preceding cumulative frequency of 17</t>
        </is>
      </c>
      <c r="K206" s="2" t="inlineStr">
        <is>
          <t>Half of 40 is 20. The cumulative frequencies are 5, 17, 32 and 40, so the class where the cumulative frequency first reaches 20 is 20-30 and the frequency before it is 17.</t>
        </is>
      </c>
      <c r="L206" s="2" t="n">
        <v>3</v>
      </c>
      <c r="M206" s="2" t="inlineStr">
        <is>
          <t>Maths_SecP1X_2026-27.pdf Page 5</t>
        </is>
      </c>
      <c r="N206" s="2" t="inlineStr">
        <is>
          <t>draft / unverified / REVIEW_PENDING</t>
        </is>
      </c>
      <c r="O206" s="3" t="inlineStr"/>
      <c r="P206" s="3" t="inlineStr"/>
      <c r="Q206" s="3" t="inlineStr"/>
      <c r="R206" s="3" t="inlineStr"/>
      <c r="S206" s="3" t="inlineStr"/>
      <c r="T206" s="3" t="inlineStr"/>
      <c r="U206" s="3" t="inlineStr"/>
    </row>
    <row r="207" ht="46" customHeight="1">
      <c r="A207" s="2" t="inlineStr">
        <is>
          <t>C10-2627-MATH-REQ037-DIAG-005</t>
        </is>
      </c>
      <c r="B207" s="2" t="inlineStr">
        <is>
          <t>Mathematics</t>
        </is>
      </c>
      <c r="C207" s="2" t="inlineStr">
        <is>
          <t>Statistics &amp; Probability</t>
        </is>
      </c>
      <c r="D207" s="2" t="inlineStr">
        <is>
          <t>Statistics</t>
        </is>
      </c>
      <c r="E207" s="2" t="inlineStr">
        <is>
          <t>REQ_MATH_2026_037</t>
        </is>
      </c>
      <c r="F207" s="2" t="inlineStr">
        <is>
          <t>LO_M13.1.1 — Calculate Mean, Median, and Mode of grouped data and apply empirical relationship.</t>
        </is>
      </c>
      <c r="G207" s="2" t="inlineStr">
        <is>
          <t>Mean, Median, and Mode of Grouped Data</t>
        </is>
      </c>
      <c r="H207" s="2" t="inlineStr">
        <is>
          <t>In a grouped distribution the modal class is 30-40 with frequency 25, the preceding class has frequency 12 and the following class has frequency 10. The class width is 10. Find the mode.</t>
        </is>
      </c>
      <c r="I207" s="2" t="inlineStr">
        <is>
          <t>(constructed response)</t>
        </is>
      </c>
      <c r="J207" s="2" t="inlineStr">
        <is>
          <t>34.64</t>
        </is>
      </c>
      <c r="K207" s="2" t="inlineStr">
        <is>
          <t>Mode = l + ((f1 - f0)/(2 f1 - f0 - f2)) x h = 30 + (13/28) x 10 = 34.64 to two decimal places.</t>
        </is>
      </c>
      <c r="L207" s="2" t="n">
        <v>4</v>
      </c>
      <c r="M207" s="2" t="inlineStr">
        <is>
          <t>Maths_SecP1X_2026-27.pdf Page 5</t>
        </is>
      </c>
      <c r="N207" s="2" t="inlineStr">
        <is>
          <t>draft / unverified / REVIEW_PENDING</t>
        </is>
      </c>
      <c r="O207" s="3" t="inlineStr"/>
      <c r="P207" s="3" t="inlineStr"/>
      <c r="Q207" s="3" t="inlineStr"/>
      <c r="R207" s="3" t="inlineStr"/>
      <c r="S207" s="3" t="inlineStr"/>
      <c r="T207" s="3" t="inlineStr"/>
      <c r="U207" s="3" t="inlineStr"/>
    </row>
    <row r="208" ht="46" customHeight="1">
      <c r="A208" s="2" t="inlineStr">
        <is>
          <t>C10-2627-MATH-REQ037-DIAG-006</t>
        </is>
      </c>
      <c r="B208" s="2" t="inlineStr">
        <is>
          <t>Mathematics</t>
        </is>
      </c>
      <c r="C208" s="2" t="inlineStr">
        <is>
          <t>Statistics &amp; Probability</t>
        </is>
      </c>
      <c r="D208" s="2" t="inlineStr">
        <is>
          <t>Statistics</t>
        </is>
      </c>
      <c r="E208" s="2" t="inlineStr">
        <is>
          <t>REQ_MATH_2026_037</t>
        </is>
      </c>
      <c r="F208" s="2" t="inlineStr">
        <is>
          <t>LO_M13.1.1 — Calculate Mean, Median, and Mode of grouped data and apply empirical relationship.</t>
        </is>
      </c>
      <c r="G208" s="2" t="inlineStr">
        <is>
          <t>Mean, Median, and Mode of Grouped Data</t>
        </is>
      </c>
      <c r="H208" s="2" t="inlineStr">
        <is>
          <t>Assertion (A): The median of grouped data can be obtained without knowing the individual observations.
Reason (R): The median formula for grouped data uses only the class boundaries, frequencies and cumulative frequencies.
Choose the correct option.</t>
        </is>
      </c>
      <c r="I208" s="2" t="inlineStr">
        <is>
          <t>A. Both A and R are true and R is the correct explanation of A.
B. Both A and R are true but R is not the correct explanation of A.
C. A is true but R is false.
D. A is false but R is true.</t>
        </is>
      </c>
      <c r="J208" s="2" t="inlineStr">
        <is>
          <t>Both A and R are true and R is the correct explanation of A.</t>
        </is>
      </c>
      <c r="K208" s="2" t="inlineStr">
        <is>
          <t>Because the formula depends only on grouped quantities, the individual values are not required.</t>
        </is>
      </c>
      <c r="L208" s="2" t="n">
        <v>2</v>
      </c>
      <c r="M208" s="2" t="inlineStr">
        <is>
          <t>Maths_SecP1X_2026-27.pdf Page 5</t>
        </is>
      </c>
      <c r="N208" s="2" t="inlineStr">
        <is>
          <t>draft / unverified / REVIEW_PENDING</t>
        </is>
      </c>
      <c r="O208" s="3" t="inlineStr"/>
      <c r="P208" s="3" t="inlineStr"/>
      <c r="Q208" s="3" t="inlineStr"/>
      <c r="R208" s="3" t="inlineStr"/>
      <c r="S208" s="3" t="inlineStr"/>
      <c r="T208" s="3" t="inlineStr"/>
      <c r="U208" s="3" t="inlineStr"/>
    </row>
    <row r="209" ht="46" customHeight="1">
      <c r="A209" s="2" t="inlineStr">
        <is>
          <t>C10-2627-MATH-REQ037-DIAG-007</t>
        </is>
      </c>
      <c r="B209" s="2" t="inlineStr">
        <is>
          <t>Mathematics</t>
        </is>
      </c>
      <c r="C209" s="2" t="inlineStr">
        <is>
          <t>Statistics &amp; Probability</t>
        </is>
      </c>
      <c r="D209" s="2" t="inlineStr">
        <is>
          <t>Statistics</t>
        </is>
      </c>
      <c r="E209" s="2" t="inlineStr">
        <is>
          <t>REQ_MATH_2026_037</t>
        </is>
      </c>
      <c r="F209" s="2" t="inlineStr">
        <is>
          <t>LO_M13.1.1 — Calculate Mean, Median, and Mode of grouped data and apply empirical relationship.</t>
        </is>
      </c>
      <c r="G209" s="2" t="inlineStr">
        <is>
          <t>Mean, Median, and Mode of Grouped Data</t>
        </is>
      </c>
      <c r="H209" s="2" t="inlineStr">
        <is>
          <t>State whether the following is true or false, and justify in one line: The mean of grouped data computed by the direct method and by the assumed mean method can differ.</t>
        </is>
      </c>
      <c r="I209" s="2" t="inlineStr">
        <is>
          <t>A. True
B. False</t>
        </is>
      </c>
      <c r="J209" s="2" t="inlineStr">
        <is>
          <t>False</t>
        </is>
      </c>
      <c r="K209" s="2" t="inlineStr">
        <is>
          <t>Both methods are algebraically equivalent rearrangements, so they give the same mean apart from rounding.</t>
        </is>
      </c>
      <c r="L209" s="2" t="n">
        <v>2</v>
      </c>
      <c r="M209" s="2" t="inlineStr">
        <is>
          <t>Maths_SecP1X_2026-27.pdf Page 5</t>
        </is>
      </c>
      <c r="N209" s="2" t="inlineStr">
        <is>
          <t>draft / unverified / REVIEW_PENDING</t>
        </is>
      </c>
      <c r="O209" s="3" t="inlineStr"/>
      <c r="P209" s="3" t="inlineStr"/>
      <c r="Q209" s="3" t="inlineStr"/>
      <c r="R209" s="3" t="inlineStr"/>
      <c r="S209" s="3" t="inlineStr"/>
      <c r="T209" s="3" t="inlineStr"/>
      <c r="U209" s="3" t="inlineStr"/>
    </row>
    <row r="210" ht="46" customHeight="1">
      <c r="A210" s="2" t="inlineStr">
        <is>
          <t>C10-2627-MATH-REQ037-REASS-001</t>
        </is>
      </c>
      <c r="B210" s="2" t="inlineStr">
        <is>
          <t>Mathematics</t>
        </is>
      </c>
      <c r="C210" s="2" t="inlineStr">
        <is>
          <t>Statistics &amp; Probability</t>
        </is>
      </c>
      <c r="D210" s="2" t="inlineStr">
        <is>
          <t>Statistics</t>
        </is>
      </c>
      <c r="E210" s="2" t="inlineStr">
        <is>
          <t>REQ_MATH_2026_037</t>
        </is>
      </c>
      <c r="F210" s="2" t="inlineStr">
        <is>
          <t>LO_M13.1.1 — Calculate Mean, Median, and Mode of grouped data and apply empirical relationship.</t>
        </is>
      </c>
      <c r="G210" s="2" t="inlineStr">
        <is>
          <t>Mean, Median, and Mode of Grouped Data</t>
        </is>
      </c>
      <c r="H210" s="2" t="inlineStr">
        <is>
          <t>Daily wages of 25 workers:
| Class | Frequency |
| 100-120 | 6 |
| 120-140 | 9 |
| 140-160 | 7 |
| 160-180 | 3 |
Find the mean daily wage using class marks.</t>
        </is>
      </c>
      <c r="I210" s="2" t="inlineStr">
        <is>
          <t>(constructed response)</t>
        </is>
      </c>
      <c r="J210" s="2" t="inlineStr">
        <is>
          <t>135.6</t>
        </is>
      </c>
      <c r="K210" s="2" t="inlineStr">
        <is>
          <t>The class marks are 110, 130, 150 and 170, giving sum f x = 660 + 1170 + 1050 + 510 = 3390 and mean 3390/25 = 135.6.</t>
        </is>
      </c>
      <c r="L210" s="2" t="n">
        <v>3</v>
      </c>
      <c r="M210" s="2" t="inlineStr">
        <is>
          <t>Maths_SecP1X_2026-27.pdf Page 5</t>
        </is>
      </c>
      <c r="N210" s="2" t="inlineStr">
        <is>
          <t>draft / unverified / REVIEW_PENDING</t>
        </is>
      </c>
      <c r="O210" s="3" t="inlineStr"/>
      <c r="P210" s="3" t="inlineStr"/>
      <c r="Q210" s="3" t="inlineStr"/>
      <c r="R210" s="3" t="inlineStr"/>
      <c r="S210" s="3" t="inlineStr"/>
      <c r="T210" s="3" t="inlineStr"/>
      <c r="U210" s="3" t="inlineStr"/>
    </row>
    <row r="211" ht="46" customHeight="1">
      <c r="A211" s="2" t="inlineStr">
        <is>
          <t>C10-2627-MATH-REQ037-REASS-002</t>
        </is>
      </c>
      <c r="B211" s="2" t="inlineStr">
        <is>
          <t>Mathematics</t>
        </is>
      </c>
      <c r="C211" s="2" t="inlineStr">
        <is>
          <t>Statistics &amp; Probability</t>
        </is>
      </c>
      <c r="D211" s="2" t="inlineStr">
        <is>
          <t>Statistics</t>
        </is>
      </c>
      <c r="E211" s="2" t="inlineStr">
        <is>
          <t>REQ_MATH_2026_037</t>
        </is>
      </c>
      <c r="F211" s="2" t="inlineStr">
        <is>
          <t>LO_M13.1.1 — Calculate Mean, Median, and Mode of grouped data and apply empirical relationship.</t>
        </is>
      </c>
      <c r="G211" s="2" t="inlineStr">
        <is>
          <t>Mean, Median, and Mode of Grouped Data</t>
        </is>
      </c>
      <c r="H211" s="2" t="inlineStr">
        <is>
          <t>The mode of a distribution is 45 and its mean is 42. Estimate the median using the empirical relationship.</t>
        </is>
      </c>
      <c r="I211" s="2" t="inlineStr">
        <is>
          <t>(constructed response)</t>
        </is>
      </c>
      <c r="J211" s="2" t="inlineStr">
        <is>
          <t>43</t>
        </is>
      </c>
      <c r="K211" s="2" t="inlineStr">
        <is>
          <t>From Mode = 3 Median - 2 Mean, 45 = 3M - 84, so 3M = 129 and the median is 43.</t>
        </is>
      </c>
      <c r="L211" s="2" t="n">
        <v>2</v>
      </c>
      <c r="M211" s="2" t="inlineStr">
        <is>
          <t>Maths_SecP1X_2026-27.pdf Page 5</t>
        </is>
      </c>
      <c r="N211" s="2" t="inlineStr">
        <is>
          <t>draft / unverified / REVIEW_PENDING</t>
        </is>
      </c>
      <c r="O211" s="3" t="inlineStr"/>
      <c r="P211" s="3" t="inlineStr"/>
      <c r="Q211" s="3" t="inlineStr"/>
      <c r="R211" s="3" t="inlineStr"/>
      <c r="S211" s="3" t="inlineStr"/>
      <c r="T211" s="3" t="inlineStr"/>
      <c r="U211" s="3" t="inlineStr"/>
    </row>
    <row r="212" ht="46" customHeight="1">
      <c r="A212" s="2" t="inlineStr">
        <is>
          <t>C10-2627-MATH-REQ037-REASS-003</t>
        </is>
      </c>
      <c r="B212" s="2" t="inlineStr">
        <is>
          <t>Mathematics</t>
        </is>
      </c>
      <c r="C212" s="2" t="inlineStr">
        <is>
          <t>Statistics &amp; Probability</t>
        </is>
      </c>
      <c r="D212" s="2" t="inlineStr">
        <is>
          <t>Statistics</t>
        </is>
      </c>
      <c r="E212" s="2" t="inlineStr">
        <is>
          <t>REQ_MATH_2026_037</t>
        </is>
      </c>
      <c r="F212" s="2" t="inlineStr">
        <is>
          <t>LO_M13.1.1 — Calculate Mean, Median, and Mode of grouped data and apply empirical relationship.</t>
        </is>
      </c>
      <c r="G212" s="2" t="inlineStr">
        <is>
          <t>Mean, Median, and Mode of Grouped Data</t>
        </is>
      </c>
      <c r="H212" s="2" t="inlineStr">
        <is>
          <t>The class mark of the interval 62-70 is</t>
        </is>
      </c>
      <c r="I212" s="2" t="inlineStr">
        <is>
          <t>A. 70
B. 8
C. 66
D. 62</t>
        </is>
      </c>
      <c r="J212" s="2" t="inlineStr">
        <is>
          <t>66</t>
        </is>
      </c>
      <c r="K212" s="2" t="inlineStr">
        <is>
          <t>The class mark is (62 + 70)/2 = 66.</t>
        </is>
      </c>
      <c r="L212" s="2" t="n">
        <v>1</v>
      </c>
      <c r="M212" s="2" t="inlineStr">
        <is>
          <t>Maths_SecP1X_2026-27.pdf Page 5</t>
        </is>
      </c>
      <c r="N212" s="2" t="inlineStr">
        <is>
          <t>draft / unverified / REVIEW_PENDING</t>
        </is>
      </c>
      <c r="O212" s="3" t="inlineStr"/>
      <c r="P212" s="3" t="inlineStr"/>
      <c r="Q212" s="3" t="inlineStr"/>
      <c r="R212" s="3" t="inlineStr"/>
      <c r="S212" s="3" t="inlineStr"/>
      <c r="T212" s="3" t="inlineStr"/>
      <c r="U212" s="3" t="inlineStr"/>
    </row>
    <row r="213" ht="46" customHeight="1">
      <c r="A213" s="2" t="inlineStr">
        <is>
          <t>C10-2627-MATH-REQ037-REASS-004</t>
        </is>
      </c>
      <c r="B213" s="2" t="inlineStr">
        <is>
          <t>Mathematics</t>
        </is>
      </c>
      <c r="C213" s="2" t="inlineStr">
        <is>
          <t>Statistics &amp; Probability</t>
        </is>
      </c>
      <c r="D213" s="2" t="inlineStr">
        <is>
          <t>Statistics</t>
        </is>
      </c>
      <c r="E213" s="2" t="inlineStr">
        <is>
          <t>REQ_MATH_2026_037</t>
        </is>
      </c>
      <c r="F213" s="2" t="inlineStr">
        <is>
          <t>LO_M13.1.1 — Calculate Mean, Median, and Mode of grouped data and apply empirical relationship.</t>
        </is>
      </c>
      <c r="G213" s="2" t="inlineStr">
        <is>
          <t>Mean, Median, and Mode of Grouped Data</t>
        </is>
      </c>
      <c r="H213" s="2" t="inlineStr">
        <is>
          <t>A distribution of 50 observations:
| Class | Frequency |
| 0-20 | 8 |
| 20-40 | 14 |
| 40-60 | 18 |
| 60-80 | 10 |
Find the median of the distribution.</t>
        </is>
      </c>
      <c r="I213" s="2" t="inlineStr">
        <is>
          <t>(constructed response)</t>
        </is>
      </c>
      <c r="J213" s="2" t="inlineStr">
        <is>
          <t>43.33</t>
        </is>
      </c>
      <c r="K213" s="2" t="inlineStr">
        <is>
          <t>n/2 = 25, so the median class is 40-60 with cf before it 22, f = 18 and h = 20. The median is 40 + (3/18) x 20 = 43.33.</t>
        </is>
      </c>
      <c r="L213" s="2" t="n">
        <v>4</v>
      </c>
      <c r="M213" s="2" t="inlineStr">
        <is>
          <t>Maths_SecP1X_2026-27.pdf Page 5</t>
        </is>
      </c>
      <c r="N213" s="2" t="inlineStr">
        <is>
          <t>draft / unverified / REVIEW_PENDING</t>
        </is>
      </c>
      <c r="O213" s="3" t="inlineStr"/>
      <c r="P213" s="3" t="inlineStr"/>
      <c r="Q213" s="3" t="inlineStr"/>
      <c r="R213" s="3" t="inlineStr"/>
      <c r="S213" s="3" t="inlineStr"/>
      <c r="T213" s="3" t="inlineStr"/>
      <c r="U213" s="3" t="inlineStr"/>
    </row>
    <row r="214" ht="46" customHeight="1">
      <c r="A214" s="2" t="inlineStr">
        <is>
          <t>C10-2627-MATH-REQ037-REASS-005</t>
        </is>
      </c>
      <c r="B214" s="2" t="inlineStr">
        <is>
          <t>Mathematics</t>
        </is>
      </c>
      <c r="C214" s="2" t="inlineStr">
        <is>
          <t>Statistics &amp; Probability</t>
        </is>
      </c>
      <c r="D214" s="2" t="inlineStr">
        <is>
          <t>Statistics</t>
        </is>
      </c>
      <c r="E214" s="2" t="inlineStr">
        <is>
          <t>REQ_MATH_2026_037</t>
        </is>
      </c>
      <c r="F214" s="2" t="inlineStr">
        <is>
          <t>LO_M13.1.1 — Calculate Mean, Median, and Mode of grouped data and apply empirical relationship.</t>
        </is>
      </c>
      <c r="G214" s="2" t="inlineStr">
        <is>
          <t>Mean, Median, and Mode of Grouped Data</t>
        </is>
      </c>
      <c r="H214" s="2" t="inlineStr">
        <is>
          <t>The modal class of a distribution is 20-30 with frequency 30, the preceding frequency is 18 and the following frequency is 20. The class width is 10. Find the mode.</t>
        </is>
      </c>
      <c r="I214" s="2" t="inlineStr">
        <is>
          <t>(constructed response)</t>
        </is>
      </c>
      <c r="J214" s="2" t="inlineStr">
        <is>
          <t>25.45</t>
        </is>
      </c>
      <c r="K214" s="2" t="inlineStr">
        <is>
          <t>Mode = 20 + (12/22) x 10 = 25.45 to two decimal places.</t>
        </is>
      </c>
      <c r="L214" s="2" t="n">
        <v>4</v>
      </c>
      <c r="M214" s="2" t="inlineStr">
        <is>
          <t>Maths_SecP1X_2026-27.pdf Page 5</t>
        </is>
      </c>
      <c r="N214" s="2" t="inlineStr">
        <is>
          <t>draft / unverified / REVIEW_PENDING</t>
        </is>
      </c>
      <c r="O214" s="3" t="inlineStr"/>
      <c r="P214" s="3" t="inlineStr"/>
      <c r="Q214" s="3" t="inlineStr"/>
      <c r="R214" s="3" t="inlineStr"/>
      <c r="S214" s="3" t="inlineStr"/>
      <c r="T214" s="3" t="inlineStr"/>
      <c r="U214" s="3" t="inlineStr"/>
    </row>
    <row r="215" ht="46" customHeight="1">
      <c r="A215" s="2" t="inlineStr">
        <is>
          <t>C10-2627-MATH-REQ037-REASS-006</t>
        </is>
      </c>
      <c r="B215" s="2" t="inlineStr">
        <is>
          <t>Mathematics</t>
        </is>
      </c>
      <c r="C215" s="2" t="inlineStr">
        <is>
          <t>Statistics &amp; Probability</t>
        </is>
      </c>
      <c r="D215" s="2" t="inlineStr">
        <is>
          <t>Statistics</t>
        </is>
      </c>
      <c r="E215" s="2" t="inlineStr">
        <is>
          <t>REQ_MATH_2026_037</t>
        </is>
      </c>
      <c r="F215" s="2" t="inlineStr">
        <is>
          <t>LO_M13.1.1 — Calculate Mean, Median, and Mode of grouped data and apply empirical relationship.</t>
        </is>
      </c>
      <c r="G215" s="2" t="inlineStr">
        <is>
          <t>Mean, Median, and Mode of Grouped Data</t>
        </is>
      </c>
      <c r="H215" s="2" t="inlineStr">
        <is>
          <t>Using an assumed mean of 25, the deviations d = x - 25 for classes with frequencies 4, 6, 5 and 5 are -20, -10, 0 and 10 respectively. Find the mean.</t>
        </is>
      </c>
      <c r="I215" s="2" t="inlineStr">
        <is>
          <t>(constructed response)</t>
        </is>
      </c>
      <c r="J215" s="2" t="inlineStr">
        <is>
          <t>20.5</t>
        </is>
      </c>
      <c r="K215" s="2" t="inlineStr">
        <is>
          <t>Sum of f d = -80 - 60 + 0 + 50 = -90 and the total frequency is 20, so the mean is 25 - 4.5 = 20.5.</t>
        </is>
      </c>
      <c r="L215" s="2" t="n">
        <v>3</v>
      </c>
      <c r="M215" s="2" t="inlineStr">
        <is>
          <t>Maths_SecP1X_2026-27.pdf Page 5</t>
        </is>
      </c>
      <c r="N215" s="2" t="inlineStr">
        <is>
          <t>draft / unverified / REVIEW_PENDING</t>
        </is>
      </c>
      <c r="O215" s="3" t="inlineStr"/>
      <c r="P215" s="3" t="inlineStr"/>
      <c r="Q215" s="3" t="inlineStr"/>
      <c r="R215" s="3" t="inlineStr"/>
      <c r="S215" s="3" t="inlineStr"/>
      <c r="T215" s="3" t="inlineStr"/>
      <c r="U215" s="3" t="inlineStr"/>
    </row>
    <row r="216" ht="46" customHeight="1">
      <c r="A216" s="2" t="inlineStr">
        <is>
          <t>C10-2627-MATH-REQ037-REASS-007</t>
        </is>
      </c>
      <c r="B216" s="2" t="inlineStr">
        <is>
          <t>Mathematics</t>
        </is>
      </c>
      <c r="C216" s="2" t="inlineStr">
        <is>
          <t>Statistics &amp; Probability</t>
        </is>
      </c>
      <c r="D216" s="2" t="inlineStr">
        <is>
          <t>Statistics</t>
        </is>
      </c>
      <c r="E216" s="2" t="inlineStr">
        <is>
          <t>REQ_MATH_2026_037</t>
        </is>
      </c>
      <c r="F216" s="2" t="inlineStr">
        <is>
          <t>LO_M13.1.1 — Calculate Mean, Median, and Mode of grouped data and apply empirical relationship.</t>
        </is>
      </c>
      <c r="G216" s="2" t="inlineStr">
        <is>
          <t>Mean, Median, and Mode of Grouped Data</t>
        </is>
      </c>
      <c r="H216" s="2" t="inlineStr">
        <is>
          <t>For a distribution of 60 observations, the median class is the class in which the cumulative frequency first reaches</t>
        </is>
      </c>
      <c r="I216" s="2" t="inlineStr">
        <is>
          <t>A. 60
B. 15
C. 45
D. 30</t>
        </is>
      </c>
      <c r="J216" s="2" t="inlineStr">
        <is>
          <t>30</t>
        </is>
      </c>
      <c r="K216" s="2" t="inlineStr">
        <is>
          <t>The median class corresponds to n/2 = 30 observations.</t>
        </is>
      </c>
      <c r="L216" s="2" t="n">
        <v>2</v>
      </c>
      <c r="M216" s="2" t="inlineStr">
        <is>
          <t>Maths_SecP1X_2026-27.pdf Page 5</t>
        </is>
      </c>
      <c r="N216" s="2" t="inlineStr">
        <is>
          <t>draft / unverified / REVIEW_PENDING</t>
        </is>
      </c>
      <c r="O216" s="3" t="inlineStr"/>
      <c r="P216" s="3" t="inlineStr"/>
      <c r="Q216" s="3" t="inlineStr"/>
      <c r="R216" s="3" t="inlineStr"/>
      <c r="S216" s="3" t="inlineStr"/>
      <c r="T216" s="3" t="inlineStr"/>
      <c r="U216" s="3" t="inlineStr"/>
    </row>
    <row r="217" ht="46" customHeight="1">
      <c r="A217" s="2" t="inlineStr">
        <is>
          <t>C10-2627-MATH-REQ037-REASS-008</t>
        </is>
      </c>
      <c r="B217" s="2" t="inlineStr">
        <is>
          <t>Mathematics</t>
        </is>
      </c>
      <c r="C217" s="2" t="inlineStr">
        <is>
          <t>Statistics &amp; Probability</t>
        </is>
      </c>
      <c r="D217" s="2" t="inlineStr">
        <is>
          <t>Statistics</t>
        </is>
      </c>
      <c r="E217" s="2" t="inlineStr">
        <is>
          <t>REQ_MATH_2026_037</t>
        </is>
      </c>
      <c r="F217" s="2" t="inlineStr">
        <is>
          <t>LO_M13.1.1 — Calculate Mean, Median, and Mode of grouped data and apply empirical relationship.</t>
        </is>
      </c>
      <c r="G217" s="2" t="inlineStr">
        <is>
          <t>Mean, Median, and Mode of Grouped Data</t>
        </is>
      </c>
      <c r="H217" s="2" t="inlineStr">
        <is>
          <t>Assertion (A): A grouped distribution can have more than one modal class.
Reason (R): The modal class is the class with the greatest frequency.
Choose the correct option.</t>
        </is>
      </c>
      <c r="I217" s="2" t="inlineStr">
        <is>
          <t>A. Both A and R are true and R is the correct explanation of A.
B. Both A and R are true but R is not the correct explanation of A.
C. A is true but R is false.
D. A is false but R is true.</t>
        </is>
      </c>
      <c r="J217" s="2" t="inlineStr">
        <is>
          <t>Both A and R are true and R is the correct explanation of A.</t>
        </is>
      </c>
      <c r="K217" s="2" t="inlineStr">
        <is>
          <t>If two classes share the greatest frequency then both are modal, which is exactly what R permits.</t>
        </is>
      </c>
      <c r="L217" s="2" t="n">
        <v>3</v>
      </c>
      <c r="M217" s="2" t="inlineStr">
        <is>
          <t>Maths_SecP1X_2026-27.pdf Page 5</t>
        </is>
      </c>
      <c r="N217" s="2" t="inlineStr">
        <is>
          <t>draft / unverified / REVIEW_PENDING</t>
        </is>
      </c>
      <c r="O217" s="3" t="inlineStr"/>
      <c r="P217" s="3" t="inlineStr"/>
      <c r="Q217" s="3" t="inlineStr"/>
      <c r="R217" s="3" t="inlineStr"/>
      <c r="S217" s="3" t="inlineStr"/>
      <c r="T217" s="3" t="inlineStr"/>
      <c r="U217" s="3" t="inlineStr"/>
    </row>
    <row r="218" ht="46" customHeight="1">
      <c r="A218" s="2" t="inlineStr">
        <is>
          <t>C10-2627-MATH-REQ037-REASS-009</t>
        </is>
      </c>
      <c r="B218" s="2" t="inlineStr">
        <is>
          <t>Mathematics</t>
        </is>
      </c>
      <c r="C218" s="2" t="inlineStr">
        <is>
          <t>Statistics &amp; Probability</t>
        </is>
      </c>
      <c r="D218" s="2" t="inlineStr">
        <is>
          <t>Statistics</t>
        </is>
      </c>
      <c r="E218" s="2" t="inlineStr">
        <is>
          <t>REQ_MATH_2026_037</t>
        </is>
      </c>
      <c r="F218" s="2" t="inlineStr">
        <is>
          <t>LO_M13.1.1 — Calculate Mean, Median, and Mode of grouped data and apply empirical relationship.</t>
        </is>
      </c>
      <c r="G218" s="2" t="inlineStr">
        <is>
          <t>Mean, Median, and Mode of Grouped Data</t>
        </is>
      </c>
      <c r="H218" s="2" t="inlineStr">
        <is>
          <t>State whether the following is true or false, and justify in one line: The mean is affected more than the median by an extremely large observation.</t>
        </is>
      </c>
      <c r="I218" s="2" t="inlineStr">
        <is>
          <t>A. True
B. False</t>
        </is>
      </c>
      <c r="J218" s="2" t="inlineStr">
        <is>
          <t>True</t>
        </is>
      </c>
      <c r="K218" s="2" t="inlineStr">
        <is>
          <t>The mean uses every value in its sum, while the median depends only on the position of the middle value.</t>
        </is>
      </c>
      <c r="L218" s="2" t="n">
        <v>2</v>
      </c>
      <c r="M218" s="2" t="inlineStr">
        <is>
          <t>Maths_SecP1X_2026-27.pdf Page 5</t>
        </is>
      </c>
      <c r="N218" s="2" t="inlineStr">
        <is>
          <t>draft / unverified / REVIEW_PENDING</t>
        </is>
      </c>
      <c r="O218" s="3" t="inlineStr"/>
      <c r="P218" s="3" t="inlineStr"/>
      <c r="Q218" s="3" t="inlineStr"/>
      <c r="R218" s="3" t="inlineStr"/>
      <c r="S218" s="3" t="inlineStr"/>
      <c r="T218" s="3" t="inlineStr"/>
      <c r="U218" s="3" t="inlineStr"/>
    </row>
    <row r="219" ht="46" customHeight="1">
      <c r="A219" s="2" t="inlineStr">
        <is>
          <t>C10-2627-MATH-REQ037-REASS-010</t>
        </is>
      </c>
      <c r="B219" s="2" t="inlineStr">
        <is>
          <t>Mathematics</t>
        </is>
      </c>
      <c r="C219" s="2" t="inlineStr">
        <is>
          <t>Statistics &amp; Probability</t>
        </is>
      </c>
      <c r="D219" s="2" t="inlineStr">
        <is>
          <t>Statistics</t>
        </is>
      </c>
      <c r="E219" s="2" t="inlineStr">
        <is>
          <t>REQ_MATH_2026_037</t>
        </is>
      </c>
      <c r="F219" s="2" t="inlineStr">
        <is>
          <t>LO_M13.1.1 — Calculate Mean, Median, and Mode of grouped data and apply empirical relationship.</t>
        </is>
      </c>
      <c r="G219" s="2" t="inlineStr">
        <is>
          <t>Mean, Median, and Mode of Grouped Data</t>
        </is>
      </c>
      <c r="H219" s="2" t="inlineStr">
        <is>
          <t>The frequencies of four consecutive classes are 7, 11, 9 and 3. Write the cumulative frequency of the third class.</t>
        </is>
      </c>
      <c r="I219" s="2" t="inlineStr">
        <is>
          <t>(constructed response)</t>
        </is>
      </c>
      <c r="J219" s="2" t="inlineStr">
        <is>
          <t>27</t>
        </is>
      </c>
      <c r="K219" s="2" t="inlineStr">
        <is>
          <t>Cumulative frequencies are 7, 18, 27 and 30, so the third is 27.</t>
        </is>
      </c>
      <c r="L219" s="2" t="n">
        <v>2</v>
      </c>
      <c r="M219" s="2" t="inlineStr">
        <is>
          <t>Maths_SecP1X_2026-27.pdf Page 5</t>
        </is>
      </c>
      <c r="N219" s="2" t="inlineStr">
        <is>
          <t>draft / unverified / REVIEW_PENDING</t>
        </is>
      </c>
      <c r="O219" s="3" t="inlineStr"/>
      <c r="P219" s="3" t="inlineStr"/>
      <c r="Q219" s="3" t="inlineStr"/>
      <c r="R219" s="3" t="inlineStr"/>
      <c r="S219" s="3" t="inlineStr"/>
      <c r="T219" s="3" t="inlineStr"/>
      <c r="U219" s="3" t="inlineStr"/>
    </row>
    <row r="220" ht="46" customHeight="1">
      <c r="A220" s="2" t="inlineStr">
        <is>
          <t>C10-2627-MATH-REQ038-DIAG-001</t>
        </is>
      </c>
      <c r="B220" s="2" t="inlineStr">
        <is>
          <t>Mathematics</t>
        </is>
      </c>
      <c r="C220" s="2" t="inlineStr">
        <is>
          <t>Statistics &amp; Probability</t>
        </is>
      </c>
      <c r="D220" s="2" t="inlineStr">
        <is>
          <t>Probability</t>
        </is>
      </c>
      <c r="E220" s="2" t="inlineStr">
        <is>
          <t>REQ_MATH_2026_038</t>
        </is>
      </c>
      <c r="F220" s="2" t="inlineStr">
        <is>
          <t>LO_M14.1.1 — Calculate theoretical probability of single and compound events.</t>
        </is>
      </c>
      <c r="G220" s="2" t="inlineStr">
        <is>
          <t>Classical Approach to Probability</t>
        </is>
      </c>
      <c r="H220" s="2" t="inlineStr">
        <is>
          <t>A fair six-faced die is rolled once. Find the probability of getting an even number.</t>
        </is>
      </c>
      <c r="I220" s="2" t="inlineStr">
        <is>
          <t>(constructed response)</t>
        </is>
      </c>
      <c r="J220" s="2" t="inlineStr">
        <is>
          <t>1/2</t>
        </is>
      </c>
      <c r="K220" s="2" t="inlineStr">
        <is>
          <t>The even outcomes are 2, 4 and 6, so the probability is 3/6 = 1/2.</t>
        </is>
      </c>
      <c r="L220" s="2" t="n">
        <v>1</v>
      </c>
      <c r="M220" s="2" t="inlineStr">
        <is>
          <t>Maths_SecP1X_2026-27.pdf Page 5</t>
        </is>
      </c>
      <c r="N220" s="2" t="inlineStr">
        <is>
          <t>draft / unverified / REVIEW_PENDING</t>
        </is>
      </c>
      <c r="O220" s="3" t="inlineStr"/>
      <c r="P220" s="3" t="inlineStr"/>
      <c r="Q220" s="3" t="inlineStr"/>
      <c r="R220" s="3" t="inlineStr"/>
      <c r="S220" s="3" t="inlineStr"/>
      <c r="T220" s="3" t="inlineStr"/>
      <c r="U220" s="3" t="inlineStr"/>
    </row>
    <row r="221" ht="46" customHeight="1">
      <c r="A221" s="2" t="inlineStr">
        <is>
          <t>C10-2627-MATH-REQ038-DIAG-002</t>
        </is>
      </c>
      <c r="B221" s="2" t="inlineStr">
        <is>
          <t>Mathematics</t>
        </is>
      </c>
      <c r="C221" s="2" t="inlineStr">
        <is>
          <t>Statistics &amp; Probability</t>
        </is>
      </c>
      <c r="D221" s="2" t="inlineStr">
        <is>
          <t>Probability</t>
        </is>
      </c>
      <c r="E221" s="2" t="inlineStr">
        <is>
          <t>REQ_MATH_2026_038</t>
        </is>
      </c>
      <c r="F221" s="2" t="inlineStr">
        <is>
          <t>LO_M14.1.1 — Calculate theoretical probability of single and compound events.</t>
        </is>
      </c>
      <c r="G221" s="2" t="inlineStr">
        <is>
          <t>Classical Approach to Probability</t>
        </is>
      </c>
      <c r="H221" s="2" t="inlineStr">
        <is>
          <t>One card is drawn at random from a well shuffled deck of 52 playing cards. Find the probability that it is a king.</t>
        </is>
      </c>
      <c r="I221" s="2" t="inlineStr">
        <is>
          <t>(constructed response)</t>
        </is>
      </c>
      <c r="J221" s="2" t="inlineStr">
        <is>
          <t>1/13</t>
        </is>
      </c>
      <c r="K221" s="2" t="inlineStr">
        <is>
          <t>There are 4 kings in 52 cards, so the probability is 4/52 = 1/13.</t>
        </is>
      </c>
      <c r="L221" s="2" t="n">
        <v>2</v>
      </c>
      <c r="M221" s="2" t="inlineStr">
        <is>
          <t>Maths_SecP1X_2026-27.pdf Page 5</t>
        </is>
      </c>
      <c r="N221" s="2" t="inlineStr">
        <is>
          <t>draft / unverified / REVIEW_PENDING</t>
        </is>
      </c>
      <c r="O221" s="3" t="inlineStr"/>
      <c r="P221" s="3" t="inlineStr"/>
      <c r="Q221" s="3" t="inlineStr"/>
      <c r="R221" s="3" t="inlineStr"/>
      <c r="S221" s="3" t="inlineStr"/>
      <c r="T221" s="3" t="inlineStr"/>
      <c r="U221" s="3" t="inlineStr"/>
    </row>
    <row r="222" ht="46" customHeight="1">
      <c r="A222" s="2" t="inlineStr">
        <is>
          <t>C10-2627-MATH-REQ038-DIAG-003</t>
        </is>
      </c>
      <c r="B222" s="2" t="inlineStr">
        <is>
          <t>Mathematics</t>
        </is>
      </c>
      <c r="C222" s="2" t="inlineStr">
        <is>
          <t>Statistics &amp; Probability</t>
        </is>
      </c>
      <c r="D222" s="2" t="inlineStr">
        <is>
          <t>Probability</t>
        </is>
      </c>
      <c r="E222" s="2" t="inlineStr">
        <is>
          <t>REQ_MATH_2026_038</t>
        </is>
      </c>
      <c r="F222" s="2" t="inlineStr">
        <is>
          <t>LO_M14.1.1 — Calculate theoretical probability of single and compound events.</t>
        </is>
      </c>
      <c r="G222" s="2" t="inlineStr">
        <is>
          <t>Classical Approach to Probability</t>
        </is>
      </c>
      <c r="H222" s="2" t="inlineStr">
        <is>
          <t>If the probability of an event happening is 0.35, the probability of it not happening is</t>
        </is>
      </c>
      <c r="I222" s="2" t="inlineStr">
        <is>
          <t>A. 0.5
B. 0.65
C. 0.35
D. 1.35</t>
        </is>
      </c>
      <c r="J222" s="2" t="inlineStr">
        <is>
          <t>0.65</t>
        </is>
      </c>
      <c r="K222" s="2" t="inlineStr">
        <is>
          <t>Complementary probabilities add to 1, so the answer is 1 - 0.35 = 0.65.</t>
        </is>
      </c>
      <c r="L222" s="2" t="n">
        <v>2</v>
      </c>
      <c r="M222" s="2" t="inlineStr">
        <is>
          <t>Maths_SecP1X_2026-27.pdf Page 5</t>
        </is>
      </c>
      <c r="N222" s="2" t="inlineStr">
        <is>
          <t>draft / unverified / REVIEW_PENDING</t>
        </is>
      </c>
      <c r="O222" s="3" t="inlineStr"/>
      <c r="P222" s="3" t="inlineStr"/>
      <c r="Q222" s="3" t="inlineStr"/>
      <c r="R222" s="3" t="inlineStr"/>
      <c r="S222" s="3" t="inlineStr"/>
      <c r="T222" s="3" t="inlineStr"/>
      <c r="U222" s="3" t="inlineStr"/>
    </row>
    <row r="223" ht="46" customHeight="1">
      <c r="A223" s="2" t="inlineStr">
        <is>
          <t>C10-2627-MATH-REQ038-DIAG-004</t>
        </is>
      </c>
      <c r="B223" s="2" t="inlineStr">
        <is>
          <t>Mathematics</t>
        </is>
      </c>
      <c r="C223" s="2" t="inlineStr">
        <is>
          <t>Statistics &amp; Probability</t>
        </is>
      </c>
      <c r="D223" s="2" t="inlineStr">
        <is>
          <t>Probability</t>
        </is>
      </c>
      <c r="E223" s="2" t="inlineStr">
        <is>
          <t>REQ_MATH_2026_038</t>
        </is>
      </c>
      <c r="F223" s="2" t="inlineStr">
        <is>
          <t>LO_M14.1.1 — Calculate theoretical probability of single and compound events.</t>
        </is>
      </c>
      <c r="G223" s="2" t="inlineStr">
        <is>
          <t>Classical Approach to Probability</t>
        </is>
      </c>
      <c r="H223" s="2" t="inlineStr">
        <is>
          <t>A cloth bag holds 5 red marbles, 8 blue marbles and 7 green marbles, identical except for colour. One marble is drawn at random.
Find the probability that the marble drawn is not blue.</t>
        </is>
      </c>
      <c r="I223" s="2" t="inlineStr">
        <is>
          <t>(constructed response)</t>
        </is>
      </c>
      <c r="J223" s="2" t="inlineStr">
        <is>
          <t>3/5</t>
        </is>
      </c>
      <c r="K223" s="2" t="inlineStr">
        <is>
          <t>There are 20 marbles in all and 12 are not blue, so the probability is 12/20 = 3/5.</t>
        </is>
      </c>
      <c r="L223" s="2" t="n">
        <v>3</v>
      </c>
      <c r="M223" s="2" t="inlineStr">
        <is>
          <t>Maths_SecP1X_2026-27.pdf Page 5</t>
        </is>
      </c>
      <c r="N223" s="2" t="inlineStr">
        <is>
          <t>draft / unverified / REVIEW_PENDING</t>
        </is>
      </c>
      <c r="O223" s="3" t="inlineStr"/>
      <c r="P223" s="3" t="inlineStr"/>
      <c r="Q223" s="3" t="inlineStr"/>
      <c r="R223" s="3" t="inlineStr"/>
      <c r="S223" s="3" t="inlineStr"/>
      <c r="T223" s="3" t="inlineStr"/>
      <c r="U223" s="3" t="inlineStr"/>
    </row>
    <row r="224" ht="46" customHeight="1">
      <c r="A224" s="2" t="inlineStr">
        <is>
          <t>C10-2627-MATH-REQ038-DIAG-005</t>
        </is>
      </c>
      <c r="B224" s="2" t="inlineStr">
        <is>
          <t>Mathematics</t>
        </is>
      </c>
      <c r="C224" s="2" t="inlineStr">
        <is>
          <t>Statistics &amp; Probability</t>
        </is>
      </c>
      <c r="D224" s="2" t="inlineStr">
        <is>
          <t>Probability</t>
        </is>
      </c>
      <c r="E224" s="2" t="inlineStr">
        <is>
          <t>REQ_MATH_2026_038</t>
        </is>
      </c>
      <c r="F224" s="2" t="inlineStr">
        <is>
          <t>LO_M14.1.1 — Calculate theoretical probability of single and compound events.</t>
        </is>
      </c>
      <c r="G224" s="2" t="inlineStr">
        <is>
          <t>Classical Approach to Probability</t>
        </is>
      </c>
      <c r="H224" s="2" t="inlineStr">
        <is>
          <t>Two fair coins are tossed together. Find the probability of getting exactly one head.</t>
        </is>
      </c>
      <c r="I224" s="2" t="inlineStr">
        <is>
          <t>(constructed response)</t>
        </is>
      </c>
      <c r="J224" s="2" t="inlineStr">
        <is>
          <t>1/2</t>
        </is>
      </c>
      <c r="K224" s="2" t="inlineStr">
        <is>
          <t>The sample space is HH, HT, TH, TT and exactly one head occurs in HT and TH, so the probability is 2/4 = 1/2.</t>
        </is>
      </c>
      <c r="L224" s="2" t="n">
        <v>3</v>
      </c>
      <c r="M224" s="2" t="inlineStr">
        <is>
          <t>Maths_SecP1X_2026-27.pdf Page 5</t>
        </is>
      </c>
      <c r="N224" s="2" t="inlineStr">
        <is>
          <t>draft / unverified / REVIEW_PENDING</t>
        </is>
      </c>
      <c r="O224" s="3" t="inlineStr"/>
      <c r="P224" s="3" t="inlineStr"/>
      <c r="Q224" s="3" t="inlineStr"/>
      <c r="R224" s="3" t="inlineStr"/>
      <c r="S224" s="3" t="inlineStr"/>
      <c r="T224" s="3" t="inlineStr"/>
      <c r="U224" s="3" t="inlineStr"/>
    </row>
    <row r="225" ht="46" customHeight="1">
      <c r="A225" s="2" t="inlineStr">
        <is>
          <t>C10-2627-MATH-REQ038-DIAG-006</t>
        </is>
      </c>
      <c r="B225" s="2" t="inlineStr">
        <is>
          <t>Mathematics</t>
        </is>
      </c>
      <c r="C225" s="2" t="inlineStr">
        <is>
          <t>Statistics &amp; Probability</t>
        </is>
      </c>
      <c r="D225" s="2" t="inlineStr">
        <is>
          <t>Probability</t>
        </is>
      </c>
      <c r="E225" s="2" t="inlineStr">
        <is>
          <t>REQ_MATH_2026_038</t>
        </is>
      </c>
      <c r="F225" s="2" t="inlineStr">
        <is>
          <t>LO_M14.1.1 — Calculate theoretical probability of single and compound events.</t>
        </is>
      </c>
      <c r="G225" s="2" t="inlineStr">
        <is>
          <t>Classical Approach to Probability</t>
        </is>
      </c>
      <c r="H225" s="2" t="inlineStr">
        <is>
          <t>Assertion (A): The probability of an event can never be negative or greater than 1.
Reason (R): Probability is the ratio of favourable outcomes to total outcomes, and the favourable count lies between 0 and the total.
Choose the correct option.</t>
        </is>
      </c>
      <c r="I225" s="2" t="inlineStr">
        <is>
          <t>A. Both A and R are true and R is the correct explanation of A.
B. Both A and R are true but R is not the correct explanation of A.
C. A is true but R is false.
D. A is false but R is true.</t>
        </is>
      </c>
      <c r="J225" s="2" t="inlineStr">
        <is>
          <t>Both A and R are true and R is the correct explanation of A.</t>
        </is>
      </c>
      <c r="K225" s="2" t="inlineStr">
        <is>
          <t>Because the numerator is between 0 and the denominator, the ratio lies in the interval from 0 to 1.</t>
        </is>
      </c>
      <c r="L225" s="2" t="n">
        <v>1</v>
      </c>
      <c r="M225" s="2" t="inlineStr">
        <is>
          <t>Maths_SecP1X_2026-27.pdf Page 5</t>
        </is>
      </c>
      <c r="N225" s="2" t="inlineStr">
        <is>
          <t>draft / unverified / REVIEW_PENDING</t>
        </is>
      </c>
      <c r="O225" s="3" t="inlineStr"/>
      <c r="P225" s="3" t="inlineStr"/>
      <c r="Q225" s="3" t="inlineStr"/>
      <c r="R225" s="3" t="inlineStr"/>
      <c r="S225" s="3" t="inlineStr"/>
      <c r="T225" s="3" t="inlineStr"/>
      <c r="U225" s="3" t="inlineStr"/>
    </row>
    <row r="226" ht="46" customHeight="1">
      <c r="A226" s="2" t="inlineStr">
        <is>
          <t>C10-2627-MATH-REQ038-DIAG-007</t>
        </is>
      </c>
      <c r="B226" s="2" t="inlineStr">
        <is>
          <t>Mathematics</t>
        </is>
      </c>
      <c r="C226" s="2" t="inlineStr">
        <is>
          <t>Statistics &amp; Probability</t>
        </is>
      </c>
      <c r="D226" s="2" t="inlineStr">
        <is>
          <t>Probability</t>
        </is>
      </c>
      <c r="E226" s="2" t="inlineStr">
        <is>
          <t>REQ_MATH_2026_038</t>
        </is>
      </c>
      <c r="F226" s="2" t="inlineStr">
        <is>
          <t>LO_M14.1.1 — Calculate theoretical probability of single and compound events.</t>
        </is>
      </c>
      <c r="G226" s="2" t="inlineStr">
        <is>
          <t>Classical Approach to Probability</t>
        </is>
      </c>
      <c r="H226" s="2" t="inlineStr">
        <is>
          <t>State whether the following is true or false, and justify in one line: The probability of a sure event is 1.</t>
        </is>
      </c>
      <c r="I226" s="2" t="inlineStr">
        <is>
          <t>A. True
B. False</t>
        </is>
      </c>
      <c r="J226" s="2" t="inlineStr">
        <is>
          <t>True</t>
        </is>
      </c>
      <c r="K226" s="2" t="inlineStr">
        <is>
          <t>A sure event contains every outcome of the sample space, so its probability is the total divided by itself, which is 1.</t>
        </is>
      </c>
      <c r="L226" s="2" t="n">
        <v>1</v>
      </c>
      <c r="M226" s="2" t="inlineStr">
        <is>
          <t>Maths_SecP1X_2026-27.pdf Page 5</t>
        </is>
      </c>
      <c r="N226" s="2" t="inlineStr">
        <is>
          <t>draft / unverified / REVIEW_PENDING</t>
        </is>
      </c>
      <c r="O226" s="3" t="inlineStr"/>
      <c r="P226" s="3" t="inlineStr"/>
      <c r="Q226" s="3" t="inlineStr"/>
      <c r="R226" s="3" t="inlineStr"/>
      <c r="S226" s="3" t="inlineStr"/>
      <c r="T226" s="3" t="inlineStr"/>
      <c r="U226" s="3" t="inlineStr"/>
    </row>
    <row r="227" ht="46" customHeight="1">
      <c r="A227" s="2" t="inlineStr">
        <is>
          <t>C10-2627-MATH-REQ038-REASS-001</t>
        </is>
      </c>
      <c r="B227" s="2" t="inlineStr">
        <is>
          <t>Mathematics</t>
        </is>
      </c>
      <c r="C227" s="2" t="inlineStr">
        <is>
          <t>Statistics &amp; Probability</t>
        </is>
      </c>
      <c r="D227" s="2" t="inlineStr">
        <is>
          <t>Probability</t>
        </is>
      </c>
      <c r="E227" s="2" t="inlineStr">
        <is>
          <t>REQ_MATH_2026_038</t>
        </is>
      </c>
      <c r="F227" s="2" t="inlineStr">
        <is>
          <t>LO_M14.1.1 — Calculate theoretical probability of single and compound events.</t>
        </is>
      </c>
      <c r="G227" s="2" t="inlineStr">
        <is>
          <t>Classical Approach to Probability</t>
        </is>
      </c>
      <c r="H227" s="2" t="inlineStr">
        <is>
          <t>A fair die is rolled once. Find the probability of getting a prime number.</t>
        </is>
      </c>
      <c r="I227" s="2" t="inlineStr">
        <is>
          <t>(constructed response)</t>
        </is>
      </c>
      <c r="J227" s="2" t="inlineStr">
        <is>
          <t>1/2</t>
        </is>
      </c>
      <c r="K227" s="2" t="inlineStr">
        <is>
          <t>The primes on a die are 2, 3 and 5, so the probability is 3/6 = 1/2.</t>
        </is>
      </c>
      <c r="L227" s="2" t="n">
        <v>2</v>
      </c>
      <c r="M227" s="2" t="inlineStr">
        <is>
          <t>Maths_SecP1X_2026-27.pdf Page 5</t>
        </is>
      </c>
      <c r="N227" s="2" t="inlineStr">
        <is>
          <t>draft / unverified / REVIEW_PENDING</t>
        </is>
      </c>
      <c r="O227" s="3" t="inlineStr"/>
      <c r="P227" s="3" t="inlineStr"/>
      <c r="Q227" s="3" t="inlineStr"/>
      <c r="R227" s="3" t="inlineStr"/>
      <c r="S227" s="3" t="inlineStr"/>
      <c r="T227" s="3" t="inlineStr"/>
      <c r="U227" s="3" t="inlineStr"/>
    </row>
    <row r="228" ht="46" customHeight="1">
      <c r="A228" s="2" t="inlineStr">
        <is>
          <t>C10-2627-MATH-REQ038-REASS-002</t>
        </is>
      </c>
      <c r="B228" s="2" t="inlineStr">
        <is>
          <t>Mathematics</t>
        </is>
      </c>
      <c r="C228" s="2" t="inlineStr">
        <is>
          <t>Statistics &amp; Probability</t>
        </is>
      </c>
      <c r="D228" s="2" t="inlineStr">
        <is>
          <t>Probability</t>
        </is>
      </c>
      <c r="E228" s="2" t="inlineStr">
        <is>
          <t>REQ_MATH_2026_038</t>
        </is>
      </c>
      <c r="F228" s="2" t="inlineStr">
        <is>
          <t>LO_M14.1.1 — Calculate theoretical probability of single and compound events.</t>
        </is>
      </c>
      <c r="G228" s="2" t="inlineStr">
        <is>
          <t>Classical Approach to Probability</t>
        </is>
      </c>
      <c r="H228" s="2" t="inlineStr">
        <is>
          <t>A card is drawn at random from a deck of 52 cards. Find the probability that it is a face card.</t>
        </is>
      </c>
      <c r="I228" s="2" t="inlineStr">
        <is>
          <t>(constructed response)</t>
        </is>
      </c>
      <c r="J228" s="2" t="inlineStr">
        <is>
          <t>3/13</t>
        </is>
      </c>
      <c r="K228" s="2" t="inlineStr">
        <is>
          <t>There are 12 face cards, being the jack, queen and king of each suit, so the probability is 12/52 = 3/13.</t>
        </is>
      </c>
      <c r="L228" s="2" t="n">
        <v>2</v>
      </c>
      <c r="M228" s="2" t="inlineStr">
        <is>
          <t>Maths_SecP1X_2026-27.pdf Page 5</t>
        </is>
      </c>
      <c r="N228" s="2" t="inlineStr">
        <is>
          <t>draft / unverified / REVIEW_PENDING</t>
        </is>
      </c>
      <c r="O228" s="3" t="inlineStr"/>
      <c r="P228" s="3" t="inlineStr"/>
      <c r="Q228" s="3" t="inlineStr"/>
      <c r="R228" s="3" t="inlineStr"/>
      <c r="S228" s="3" t="inlineStr"/>
      <c r="T228" s="3" t="inlineStr"/>
      <c r="U228" s="3" t="inlineStr"/>
    </row>
    <row r="229" ht="46" customHeight="1">
      <c r="A229" s="2" t="inlineStr">
        <is>
          <t>C10-2627-MATH-REQ038-REASS-003</t>
        </is>
      </c>
      <c r="B229" s="2" t="inlineStr">
        <is>
          <t>Mathematics</t>
        </is>
      </c>
      <c r="C229" s="2" t="inlineStr">
        <is>
          <t>Statistics &amp; Probability</t>
        </is>
      </c>
      <c r="D229" s="2" t="inlineStr">
        <is>
          <t>Probability</t>
        </is>
      </c>
      <c r="E229" s="2" t="inlineStr">
        <is>
          <t>REQ_MATH_2026_038</t>
        </is>
      </c>
      <c r="F229" s="2" t="inlineStr">
        <is>
          <t>LO_M14.1.1 — Calculate theoretical probability of single and compound events.</t>
        </is>
      </c>
      <c r="G229" s="2" t="inlineStr">
        <is>
          <t>Classical Approach to Probability</t>
        </is>
      </c>
      <c r="H229" s="2" t="inlineStr">
        <is>
          <t>The probability that it will not rain tomorrow is 0.72. The probability that it will rain is</t>
        </is>
      </c>
      <c r="I229" s="2" t="inlineStr">
        <is>
          <t>A. 1.72
B. 0.5
C. 0.28
D. 0.72</t>
        </is>
      </c>
      <c r="J229" s="2" t="inlineStr">
        <is>
          <t>0.28</t>
        </is>
      </c>
      <c r="K229" s="2" t="inlineStr">
        <is>
          <t>The two probabilities add to 1, so the required probability is 1 - 0.72 = 0.28.</t>
        </is>
      </c>
      <c r="L229" s="2" t="n">
        <v>2</v>
      </c>
      <c r="M229" s="2" t="inlineStr">
        <is>
          <t>Maths_SecP1X_2026-27.pdf Page 5</t>
        </is>
      </c>
      <c r="N229" s="2" t="inlineStr">
        <is>
          <t>draft / unverified / REVIEW_PENDING</t>
        </is>
      </c>
      <c r="O229" s="3" t="inlineStr"/>
      <c r="P229" s="3" t="inlineStr"/>
      <c r="Q229" s="3" t="inlineStr"/>
      <c r="R229" s="3" t="inlineStr"/>
      <c r="S229" s="3" t="inlineStr"/>
      <c r="T229" s="3" t="inlineStr"/>
      <c r="U229" s="3" t="inlineStr"/>
    </row>
    <row r="230" ht="46" customHeight="1">
      <c r="A230" s="2" t="inlineStr">
        <is>
          <t>C10-2627-MATH-REQ038-REASS-004</t>
        </is>
      </c>
      <c r="B230" s="2" t="inlineStr">
        <is>
          <t>Mathematics</t>
        </is>
      </c>
      <c r="C230" s="2" t="inlineStr">
        <is>
          <t>Statistics &amp; Probability</t>
        </is>
      </c>
      <c r="D230" s="2" t="inlineStr">
        <is>
          <t>Probability</t>
        </is>
      </c>
      <c r="E230" s="2" t="inlineStr">
        <is>
          <t>REQ_MATH_2026_038</t>
        </is>
      </c>
      <c r="F230" s="2" t="inlineStr">
        <is>
          <t>LO_M14.1.1 — Calculate theoretical probability of single and compound events.</t>
        </is>
      </c>
      <c r="G230" s="2" t="inlineStr">
        <is>
          <t>Classical Approach to Probability</t>
        </is>
      </c>
      <c r="H230" s="2" t="inlineStr">
        <is>
          <t>Tickets numbered 1 to 40 are placed in a box and one ticket is drawn at random for a class raffle.
Find the probability that the number on the drawn ticket is a multiple of 5.</t>
        </is>
      </c>
      <c r="I230" s="2" t="inlineStr">
        <is>
          <t>(constructed response)</t>
        </is>
      </c>
      <c r="J230" s="2" t="inlineStr">
        <is>
          <t>1/5</t>
        </is>
      </c>
      <c r="K230" s="2" t="inlineStr">
        <is>
          <t>The multiples of 5 up to 40 are 5, 10, 15, 20, 25, 30, 35 and 40, that is 8 tickets, so the probability is 8/40 = 1/5.</t>
        </is>
      </c>
      <c r="L230" s="2" t="n">
        <v>3</v>
      </c>
      <c r="M230" s="2" t="inlineStr">
        <is>
          <t>Maths_SecP1X_2026-27.pdf Page 5</t>
        </is>
      </c>
      <c r="N230" s="2" t="inlineStr">
        <is>
          <t>draft / unverified / REVIEW_PENDING</t>
        </is>
      </c>
      <c r="O230" s="3" t="inlineStr"/>
      <c r="P230" s="3" t="inlineStr"/>
      <c r="Q230" s="3" t="inlineStr"/>
      <c r="R230" s="3" t="inlineStr"/>
      <c r="S230" s="3" t="inlineStr"/>
      <c r="T230" s="3" t="inlineStr"/>
      <c r="U230" s="3" t="inlineStr"/>
    </row>
    <row r="231" ht="46" customHeight="1">
      <c r="A231" s="2" t="inlineStr">
        <is>
          <t>C10-2627-MATH-REQ038-REASS-005</t>
        </is>
      </c>
      <c r="B231" s="2" t="inlineStr">
        <is>
          <t>Mathematics</t>
        </is>
      </c>
      <c r="C231" s="2" t="inlineStr">
        <is>
          <t>Statistics &amp; Probability</t>
        </is>
      </c>
      <c r="D231" s="2" t="inlineStr">
        <is>
          <t>Probability</t>
        </is>
      </c>
      <c r="E231" s="2" t="inlineStr">
        <is>
          <t>REQ_MATH_2026_038</t>
        </is>
      </c>
      <c r="F231" s="2" t="inlineStr">
        <is>
          <t>LO_M14.1.1 — Calculate theoretical probability of single and compound events.</t>
        </is>
      </c>
      <c r="G231" s="2" t="inlineStr">
        <is>
          <t>Classical Approach to Probability</t>
        </is>
      </c>
      <c r="H231" s="2" t="inlineStr">
        <is>
          <t>Three fair coins are tossed together. Find the probability of getting at least two heads.</t>
        </is>
      </c>
      <c r="I231" s="2" t="inlineStr">
        <is>
          <t>(constructed response)</t>
        </is>
      </c>
      <c r="J231" s="2" t="inlineStr">
        <is>
          <t>1/2</t>
        </is>
      </c>
      <c r="K231" s="2" t="inlineStr">
        <is>
          <t>The sample space has 8 equally likely outcomes and at least two heads occurs in HHH, HHT, HTH and THH, so the probability is 4/8 = 1/2.</t>
        </is>
      </c>
      <c r="L231" s="2" t="n">
        <v>3</v>
      </c>
      <c r="M231" s="2" t="inlineStr">
        <is>
          <t>Maths_SecP1X_2026-27.pdf Page 5</t>
        </is>
      </c>
      <c r="N231" s="2" t="inlineStr">
        <is>
          <t>draft / unverified / REVIEW_PENDING</t>
        </is>
      </c>
      <c r="O231" s="3" t="inlineStr"/>
      <c r="P231" s="3" t="inlineStr"/>
      <c r="Q231" s="3" t="inlineStr"/>
      <c r="R231" s="3" t="inlineStr"/>
      <c r="S231" s="3" t="inlineStr"/>
      <c r="T231" s="3" t="inlineStr"/>
      <c r="U231" s="3" t="inlineStr"/>
    </row>
    <row r="232" ht="46" customHeight="1">
      <c r="A232" s="2" t="inlineStr">
        <is>
          <t>C10-2627-MATH-REQ038-REASS-006</t>
        </is>
      </c>
      <c r="B232" s="2" t="inlineStr">
        <is>
          <t>Mathematics</t>
        </is>
      </c>
      <c r="C232" s="2" t="inlineStr">
        <is>
          <t>Statistics &amp; Probability</t>
        </is>
      </c>
      <c r="D232" s="2" t="inlineStr">
        <is>
          <t>Probability</t>
        </is>
      </c>
      <c r="E232" s="2" t="inlineStr">
        <is>
          <t>REQ_MATH_2026_038</t>
        </is>
      </c>
      <c r="F232" s="2" t="inlineStr">
        <is>
          <t>LO_M14.1.1 — Calculate theoretical probability of single and compound events.</t>
        </is>
      </c>
      <c r="G232" s="2" t="inlineStr">
        <is>
          <t>Classical Approach to Probability</t>
        </is>
      </c>
      <c r="H232" s="2" t="inlineStr">
        <is>
          <t>A bag contains counters as listed:
| Colour | Count |
| Yellow | 6 |
| Black | 9 |
| White | 5 |
One counter is drawn at random. Find the probability that it is yellow or white.</t>
        </is>
      </c>
      <c r="I232" s="2" t="inlineStr">
        <is>
          <t>(constructed response)</t>
        </is>
      </c>
      <c r="J232" s="2" t="inlineStr">
        <is>
          <t>11/20</t>
        </is>
      </c>
      <c r="K232" s="2" t="inlineStr">
        <is>
          <t>There are 20 counters and 11 are yellow or white, so the probability is 11/20.</t>
        </is>
      </c>
      <c r="L232" s="2" t="n">
        <v>3</v>
      </c>
      <c r="M232" s="2" t="inlineStr">
        <is>
          <t>Maths_SecP1X_2026-27.pdf Page 5</t>
        </is>
      </c>
      <c r="N232" s="2" t="inlineStr">
        <is>
          <t>draft / unverified / REVIEW_PENDING</t>
        </is>
      </c>
      <c r="O232" s="3" t="inlineStr"/>
      <c r="P232" s="3" t="inlineStr"/>
      <c r="Q232" s="3" t="inlineStr"/>
      <c r="R232" s="3" t="inlineStr"/>
      <c r="S232" s="3" t="inlineStr"/>
      <c r="T232" s="3" t="inlineStr"/>
      <c r="U232" s="3" t="inlineStr"/>
    </row>
    <row r="233" ht="46" customHeight="1">
      <c r="A233" s="2" t="inlineStr">
        <is>
          <t>C10-2627-MATH-REQ038-REASS-007</t>
        </is>
      </c>
      <c r="B233" s="2" t="inlineStr">
        <is>
          <t>Mathematics</t>
        </is>
      </c>
      <c r="C233" s="2" t="inlineStr">
        <is>
          <t>Statistics &amp; Probability</t>
        </is>
      </c>
      <c r="D233" s="2" t="inlineStr">
        <is>
          <t>Probability</t>
        </is>
      </c>
      <c r="E233" s="2" t="inlineStr">
        <is>
          <t>REQ_MATH_2026_038</t>
        </is>
      </c>
      <c r="F233" s="2" t="inlineStr">
        <is>
          <t>LO_M14.1.1 — Calculate theoretical probability of single and compound events.</t>
        </is>
      </c>
      <c r="G233" s="2" t="inlineStr">
        <is>
          <t>Classical Approach to Probability</t>
        </is>
      </c>
      <c r="H233" s="2" t="inlineStr">
        <is>
          <t>Two fair dice are thrown together. Find the probability that the sum of the numbers appearing is 9.</t>
        </is>
      </c>
      <c r="I233" s="2" t="inlineStr">
        <is>
          <t>(constructed response)</t>
        </is>
      </c>
      <c r="J233" s="2" t="inlineStr">
        <is>
          <t>1/9</t>
        </is>
      </c>
      <c r="K233" s="2" t="inlineStr">
        <is>
          <t>There are 36 equally likely outcomes and the sum 9 arises from (3,6), (4,5), (5,4) and (6,3), so the probability is 4/36 = 1/9.</t>
        </is>
      </c>
      <c r="L233" s="2" t="n">
        <v>4</v>
      </c>
      <c r="M233" s="2" t="inlineStr">
        <is>
          <t>Maths_SecP1X_2026-27.pdf Page 5</t>
        </is>
      </c>
      <c r="N233" s="2" t="inlineStr">
        <is>
          <t>draft / unverified / REVIEW_PENDING</t>
        </is>
      </c>
      <c r="O233" s="3" t="inlineStr"/>
      <c r="P233" s="3" t="inlineStr"/>
      <c r="Q233" s="3" t="inlineStr"/>
      <c r="R233" s="3" t="inlineStr"/>
      <c r="S233" s="3" t="inlineStr"/>
      <c r="T233" s="3" t="inlineStr"/>
      <c r="U233" s="3" t="inlineStr"/>
    </row>
    <row r="234" ht="46" customHeight="1">
      <c r="A234" s="2" t="inlineStr">
        <is>
          <t>C10-2627-MATH-REQ038-REASS-008</t>
        </is>
      </c>
      <c r="B234" s="2" t="inlineStr">
        <is>
          <t>Mathematics</t>
        </is>
      </c>
      <c r="C234" s="2" t="inlineStr">
        <is>
          <t>Statistics &amp; Probability</t>
        </is>
      </c>
      <c r="D234" s="2" t="inlineStr">
        <is>
          <t>Probability</t>
        </is>
      </c>
      <c r="E234" s="2" t="inlineStr">
        <is>
          <t>REQ_MATH_2026_038</t>
        </is>
      </c>
      <c r="F234" s="2" t="inlineStr">
        <is>
          <t>LO_M14.1.1 — Calculate theoretical probability of single and compound events.</t>
        </is>
      </c>
      <c r="G234" s="2" t="inlineStr">
        <is>
          <t>Classical Approach to Probability</t>
        </is>
      </c>
      <c r="H234" s="2" t="inlineStr">
        <is>
          <t>The probability of an impossible event is</t>
        </is>
      </c>
      <c r="I234" s="2" t="inlineStr">
        <is>
          <t>A. 1
B. 1/2
C. -1
D. 0</t>
        </is>
      </c>
      <c r="J234" s="2" t="inlineStr">
        <is>
          <t>0</t>
        </is>
      </c>
      <c r="K234" s="2" t="inlineStr">
        <is>
          <t>An impossible event has no favourable outcome, so its probability is 0.</t>
        </is>
      </c>
      <c r="L234" s="2" t="n">
        <v>1</v>
      </c>
      <c r="M234" s="2" t="inlineStr">
        <is>
          <t>Maths_SecP1X_2026-27.pdf Page 5</t>
        </is>
      </c>
      <c r="N234" s="2" t="inlineStr">
        <is>
          <t>draft / unverified / REVIEW_PENDING</t>
        </is>
      </c>
      <c r="O234" s="3" t="inlineStr"/>
      <c r="P234" s="3" t="inlineStr"/>
      <c r="Q234" s="3" t="inlineStr"/>
      <c r="R234" s="3" t="inlineStr"/>
      <c r="S234" s="3" t="inlineStr"/>
      <c r="T234" s="3" t="inlineStr"/>
      <c r="U234" s="3" t="inlineStr"/>
    </row>
    <row r="235" ht="46" customHeight="1">
      <c r="A235" s="2" t="inlineStr">
        <is>
          <t>C10-2627-MATH-REQ038-REASS-009</t>
        </is>
      </c>
      <c r="B235" s="2" t="inlineStr">
        <is>
          <t>Mathematics</t>
        </is>
      </c>
      <c r="C235" s="2" t="inlineStr">
        <is>
          <t>Statistics &amp; Probability</t>
        </is>
      </c>
      <c r="D235" s="2" t="inlineStr">
        <is>
          <t>Probability</t>
        </is>
      </c>
      <c r="E235" s="2" t="inlineStr">
        <is>
          <t>REQ_MATH_2026_038</t>
        </is>
      </c>
      <c r="F235" s="2" t="inlineStr">
        <is>
          <t>LO_M14.1.1 — Calculate theoretical probability of single and compound events.</t>
        </is>
      </c>
      <c r="G235" s="2" t="inlineStr">
        <is>
          <t>Classical Approach to Probability</t>
        </is>
      </c>
      <c r="H235" s="2" t="inlineStr">
        <is>
          <t>Assertion (A): The sum of the probabilities of all elementary events of an experiment is 1.
Reason (R): The elementary events together account for every outcome in the sample space exactly once.
Choose the correct option.</t>
        </is>
      </c>
      <c r="I235" s="2" t="inlineStr">
        <is>
          <t>A. Both A and R are true and R is the correct explanation of A.
B. Both A and R are true but R is not the correct explanation of A.
C. A is true but R is false.
D. A is false but R is true.</t>
        </is>
      </c>
      <c r="J235" s="2" t="inlineStr">
        <is>
          <t>Both A and R are true and R is the correct explanation of A.</t>
        </is>
      </c>
      <c r="K235" s="2" t="inlineStr">
        <is>
          <t>Adding the probabilities of all elementary events counts the whole sample space once, which gives 1.</t>
        </is>
      </c>
      <c r="L235" s="2" t="n">
        <v>2</v>
      </c>
      <c r="M235" s="2" t="inlineStr">
        <is>
          <t>Maths_SecP1X_2026-27.pdf Page 5</t>
        </is>
      </c>
      <c r="N235" s="2" t="inlineStr">
        <is>
          <t>draft / unverified / REVIEW_PENDING</t>
        </is>
      </c>
      <c r="O235" s="3" t="inlineStr"/>
      <c r="P235" s="3" t="inlineStr"/>
      <c r="Q235" s="3" t="inlineStr"/>
      <c r="R235" s="3" t="inlineStr"/>
      <c r="S235" s="3" t="inlineStr"/>
      <c r="T235" s="3" t="inlineStr"/>
      <c r="U235" s="3" t="inlineStr"/>
    </row>
    <row r="236" ht="46" customHeight="1">
      <c r="A236" s="2" t="inlineStr">
        <is>
          <t>C10-2627-MATH-REQ038-REASS-010</t>
        </is>
      </c>
      <c r="B236" s="2" t="inlineStr">
        <is>
          <t>Mathematics</t>
        </is>
      </c>
      <c r="C236" s="2" t="inlineStr">
        <is>
          <t>Statistics &amp; Probability</t>
        </is>
      </c>
      <c r="D236" s="2" t="inlineStr">
        <is>
          <t>Probability</t>
        </is>
      </c>
      <c r="E236" s="2" t="inlineStr">
        <is>
          <t>REQ_MATH_2026_038</t>
        </is>
      </c>
      <c r="F236" s="2" t="inlineStr">
        <is>
          <t>LO_M14.1.1 — Calculate theoretical probability of single and compound events.</t>
        </is>
      </c>
      <c r="G236" s="2" t="inlineStr">
        <is>
          <t>Classical Approach to Probability</t>
        </is>
      </c>
      <c r="H236" s="2" t="inlineStr">
        <is>
          <t>State whether the following is true or false, and justify in one line: Classical probability assumes that all outcomes of the experiment are equally likely.</t>
        </is>
      </c>
      <c r="I236" s="2" t="inlineStr">
        <is>
          <t>A. True
B. False</t>
        </is>
      </c>
      <c r="J236" s="2" t="inlineStr">
        <is>
          <t>True</t>
        </is>
      </c>
      <c r="K236" s="2" t="inlineStr">
        <is>
          <t>The classical definition divides favourable outcomes by total outcomes, which is valid only when the outcomes are equally likely.</t>
        </is>
      </c>
      <c r="L236" s="2" t="n">
        <v>2</v>
      </c>
      <c r="M236" s="2" t="inlineStr">
        <is>
          <t>Maths_SecP1X_2026-27.pdf Page 5</t>
        </is>
      </c>
      <c r="N236" s="2" t="inlineStr">
        <is>
          <t>draft / unverified / REVIEW_PENDING</t>
        </is>
      </c>
      <c r="O236" s="3" t="inlineStr"/>
      <c r="P236" s="3" t="inlineStr"/>
      <c r="Q236" s="3" t="inlineStr"/>
      <c r="R236" s="3" t="inlineStr"/>
      <c r="S236" s="3" t="inlineStr"/>
      <c r="T236" s="3" t="inlineStr"/>
      <c r="U236" s="3" t="inlineStr"/>
    </row>
  </sheetData>
  <sheetProtection selectLockedCells="0" selectUnlockedCells="0" sheet="1" objects="0" insertRows="1" insertHyperlinks="1" autoFilter="0" scenarios="0" formatColumns="1" deleteColumns="1" insertColumns="1" pivotTables="1" deleteRows="1" formatCells="0" formatRows="1" sort="0"/>
  <autoFilter ref="A1:U236"/>
  <dataValidations count="1">
    <dataValidation sqref="O2:O236" showDropDown="0" showInputMessage="0" showErrorMessage="1" allowBlank="1" error="Choose APPROVE, REVISE or REJECT." type="list">
      <formula1>"APPROVE,REVISE,REJECT"</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40" customWidth="1" min="1" max="1"/>
    <col width="12" customWidth="1" min="2" max="2"/>
    <col width="12" customWidth="1" min="3" max="3"/>
    <col width="12" customWidth="1" min="4" max="4"/>
    <col width="12" customWidth="1" min="5" max="5"/>
  </cols>
  <sheetData>
    <row r="1">
      <c r="A1" s="4" t="inlineStr">
        <is>
          <t>Mathematics — Class 10 CBSE 2026-27 draft review</t>
        </is>
      </c>
    </row>
    <row r="2"/>
    <row r="3">
      <c r="A3" s="5" t="inlineStr">
        <is>
          <t>Total questions</t>
        </is>
      </c>
      <c r="B3" s="5">
        <f>COUNTA(Review!A2:A236)</f>
        <v/>
      </c>
    </row>
    <row r="4">
      <c r="A4" s="5" t="inlineStr">
        <is>
          <t>Approved</t>
        </is>
      </c>
      <c r="B4" s="5">
        <f>COUNTIF(Review!O2:O236,"APPROVE")</f>
        <v/>
      </c>
    </row>
    <row r="5">
      <c r="A5" s="5" t="inlineStr">
        <is>
          <t>Revise</t>
        </is>
      </c>
      <c r="B5" s="5">
        <f>COUNTIF(Review!O2:O236,"REVISE")</f>
        <v/>
      </c>
    </row>
    <row r="6">
      <c r="A6" s="5" t="inlineStr">
        <is>
          <t>Rejected</t>
        </is>
      </c>
      <c r="B6" s="5">
        <f>COUNTIF(Review!O2:O236,"REJECT")</f>
        <v/>
      </c>
    </row>
    <row r="7">
      <c r="A7" s="5" t="inlineStr">
        <is>
          <t>Undecided</t>
        </is>
      </c>
      <c r="B7" s="5">
        <f>B3-B4-B5-B6</f>
        <v/>
      </c>
    </row>
    <row r="8"/>
    <row r="9">
      <c r="A9" s="6" t="inlineStr">
        <is>
          <t>Unit</t>
        </is>
      </c>
      <c r="B9" s="6" t="inlineStr">
        <is>
          <t>Questions</t>
        </is>
      </c>
      <c r="C9" s="6" t="inlineStr">
        <is>
          <t>Approved</t>
        </is>
      </c>
      <c r="D9" s="6" t="inlineStr">
        <is>
          <t>Revise</t>
        </is>
      </c>
      <c r="E9" s="6" t="inlineStr">
        <is>
          <t>Rejected</t>
        </is>
      </c>
    </row>
    <row r="10">
      <c r="A10" s="5" t="inlineStr">
        <is>
          <t>Algebra</t>
        </is>
      </c>
      <c r="B10" s="5">
        <f>COUNTIF(Review!C2:C236,A10)</f>
        <v/>
      </c>
      <c r="C10" s="5">
        <f>COUNTIFS(Review!C2:C236,A10,Review!O2:O236,"APPROVE")</f>
        <v/>
      </c>
      <c r="D10" s="5">
        <f>COUNTIFS(Review!C2:C236,A10,Review!O2:O236,"REVISE")</f>
        <v/>
      </c>
      <c r="E10" s="5">
        <f>COUNTIFS(Review!C2:C236,A10,Review!O2:O236,"REJECT")</f>
        <v/>
      </c>
    </row>
    <row r="11">
      <c r="A11" s="5" t="inlineStr">
        <is>
          <t>Coordinate Geometry</t>
        </is>
      </c>
      <c r="B11" s="5">
        <f>COUNTIF(Review!C2:C236,A11)</f>
        <v/>
      </c>
      <c r="C11" s="5">
        <f>COUNTIFS(Review!C2:C236,A11,Review!O2:O236,"APPROVE")</f>
        <v/>
      </c>
      <c r="D11" s="5">
        <f>COUNTIFS(Review!C2:C236,A11,Review!O2:O236,"REVISE")</f>
        <v/>
      </c>
      <c r="E11" s="5">
        <f>COUNTIFS(Review!C2:C236,A11,Review!O2:O236,"REJECT")</f>
        <v/>
      </c>
    </row>
    <row r="12">
      <c r="A12" s="5" t="inlineStr">
        <is>
          <t>Geometry</t>
        </is>
      </c>
      <c r="B12" s="5">
        <f>COUNTIF(Review!C2:C236,A12)</f>
        <v/>
      </c>
      <c r="C12" s="5">
        <f>COUNTIFS(Review!C2:C236,A12,Review!O2:O236,"APPROVE")</f>
        <v/>
      </c>
      <c r="D12" s="5">
        <f>COUNTIFS(Review!C2:C236,A12,Review!O2:O236,"REVISE")</f>
        <v/>
      </c>
      <c r="E12" s="5">
        <f>COUNTIFS(Review!C2:C236,A12,Review!O2:O236,"REJECT")</f>
        <v/>
      </c>
    </row>
    <row r="13">
      <c r="A13" s="5" t="inlineStr">
        <is>
          <t>Mensuration</t>
        </is>
      </c>
      <c r="B13" s="5">
        <f>COUNTIF(Review!C2:C236,A13)</f>
        <v/>
      </c>
      <c r="C13" s="5">
        <f>COUNTIFS(Review!C2:C236,A13,Review!O2:O236,"APPROVE")</f>
        <v/>
      </c>
      <c r="D13" s="5">
        <f>COUNTIFS(Review!C2:C236,A13,Review!O2:O236,"REVISE")</f>
        <v/>
      </c>
      <c r="E13" s="5">
        <f>COUNTIFS(Review!C2:C236,A13,Review!O2:O236,"REJECT")</f>
        <v/>
      </c>
    </row>
    <row r="14">
      <c r="A14" s="5" t="inlineStr">
        <is>
          <t>Number Systems</t>
        </is>
      </c>
      <c r="B14" s="5">
        <f>COUNTIF(Review!C2:C236,A14)</f>
        <v/>
      </c>
      <c r="C14" s="5">
        <f>COUNTIFS(Review!C2:C236,A14,Review!O2:O236,"APPROVE")</f>
        <v/>
      </c>
      <c r="D14" s="5">
        <f>COUNTIFS(Review!C2:C236,A14,Review!O2:O236,"REVISE")</f>
        <v/>
      </c>
      <c r="E14" s="5">
        <f>COUNTIFS(Review!C2:C236,A14,Review!O2:O236,"REJECT")</f>
        <v/>
      </c>
    </row>
    <row r="15">
      <c r="A15" s="5" t="inlineStr">
        <is>
          <t>Statistics &amp; Probability</t>
        </is>
      </c>
      <c r="B15" s="5">
        <f>COUNTIF(Review!C2:C236,A15)</f>
        <v/>
      </c>
      <c r="C15" s="5">
        <f>COUNTIFS(Review!C2:C236,A15,Review!O2:O236,"APPROVE")</f>
        <v/>
      </c>
      <c r="D15" s="5">
        <f>COUNTIFS(Review!C2:C236,A15,Review!O2:O236,"REVISE")</f>
        <v/>
      </c>
      <c r="E15" s="5">
        <f>COUNTIFS(Review!C2:C236,A15,Review!O2:O236,"REJECT")</f>
        <v/>
      </c>
    </row>
    <row r="16">
      <c r="A16" s="5" t="inlineStr">
        <is>
          <t>Trigonometry</t>
        </is>
      </c>
      <c r="B16" s="5">
        <f>COUNTIF(Review!C2:C236,A16)</f>
        <v/>
      </c>
      <c r="C16" s="5">
        <f>COUNTIFS(Review!C2:C236,A16,Review!O2:O236,"APPROVE")</f>
        <v/>
      </c>
      <c r="D16" s="5">
        <f>COUNTIFS(Review!C2:C236,A16,Review!O2:O236,"REVISE")</f>
        <v/>
      </c>
      <c r="E16" s="5">
        <f>COUNTIFS(Review!C2:C236,A16,Review!O2:O236,"REJECT")</f>
        <v/>
      </c>
    </row>
    <row r="17"/>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2026-08-31T02:59:30Z</dcterms:created>
  <dcterms:modified xmlns:dcterms="http://purl.org/dc/terms/" xmlns:xsi="http://www.w3.org/2001/XMLSchema-instance" xsi:type="dcterms:W3CDTF">2026-08-31T02:59:30Z</dcterms:modified>
</cp:coreProperties>
</file>