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 sheetId="1" state="visible" r:id="rId1"/>
    <sheet xmlns:r="http://schemas.openxmlformats.org/officeDocument/2006/relationships" name="Summary" sheetId="2" state="visible" r:id="rId2"/>
  </sheets>
  <definedNames>
    <definedName name="_xlnm._FilterDatabase" localSheetId="0" hidden="1">'Review'!$A$1:$U$92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b val="1"/>
      <sz val="13"/>
    </font>
    <font>
      <name val="Arial"/>
      <b val="1"/>
    </font>
  </fonts>
  <fills count="5">
    <fill>
      <patternFill/>
    </fill>
    <fill>
      <patternFill patternType="gray125"/>
    </fill>
    <fill>
      <patternFill patternType="solid">
        <fgColor rgb="001F3864"/>
      </patternFill>
    </fill>
    <fill>
      <patternFill patternType="solid">
        <fgColor rgb="00F2F2F2"/>
      </patternFill>
    </fill>
    <fill>
      <patternFill patternType="solid">
        <fgColor rgb="00C6E0B4"/>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wrapText="1"/>
    </xf>
    <xf numFmtId="0" fontId="2" fillId="4" borderId="0" applyAlignment="1" applyProtection="1" pivotButton="0" quotePrefix="0" xfId="0">
      <alignment vertical="top" wrapText="1"/>
      <protection locked="0" hidden="0"/>
    </xf>
    <xf numFmtId="0" fontId="3" fillId="0" borderId="0" pivotButton="0" quotePrefix="0" xfId="0"/>
    <xf numFmtId="0" fontId="2"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9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3" customWidth="1" min="2" max="2"/>
    <col width="24" customWidth="1" min="3" max="3"/>
    <col width="24" customWidth="1" min="4" max="4"/>
    <col width="30" customWidth="1" min="5" max="5"/>
    <col width="40" customWidth="1" min="6" max="6"/>
    <col width="26" customWidth="1" min="7" max="7"/>
    <col width="60" customWidth="1" min="8" max="8"/>
    <col width="34" customWidth="1" min="9" max="9"/>
    <col width="24" customWidth="1" min="10" max="10"/>
    <col width="60" customWidth="1" min="11" max="11"/>
    <col width="10" customWidth="1" min="12" max="12"/>
    <col width="30" customWidth="1" min="13" max="13"/>
    <col width="22" customWidth="1" min="14" max="14"/>
    <col width="16" customWidth="1" min="15" max="15"/>
    <col width="40" customWidth="1" min="16" max="16"/>
    <col width="26" customWidth="1" min="17" max="17"/>
    <col width="40" customWidth="1" min="18" max="18"/>
    <col width="20" customWidth="1" min="19" max="19"/>
    <col width="22" customWidth="1" min="20" max="20"/>
    <col width="14" customWidth="1" min="21" max="21"/>
  </cols>
  <sheetData>
    <row r="1">
      <c r="A1" s="1" t="inlineStr">
        <is>
          <t>Question ID</t>
        </is>
      </c>
      <c r="B1" s="1" t="inlineStr">
        <is>
          <t>Subject</t>
        </is>
      </c>
      <c r="C1" s="1" t="inlineStr">
        <is>
          <t>Unit</t>
        </is>
      </c>
      <c r="D1" s="1" t="inlineStr">
        <is>
          <t>Chapter</t>
        </is>
      </c>
      <c r="E1" s="1" t="inlineStr">
        <is>
          <t>Official requirement</t>
        </is>
      </c>
      <c r="F1" s="1" t="inlineStr">
        <is>
          <t>Outcome</t>
        </is>
      </c>
      <c r="G1" s="1" t="inlineStr">
        <is>
          <t>Atom/concept</t>
        </is>
      </c>
      <c r="H1" s="1" t="inlineStr">
        <is>
          <t>Question</t>
        </is>
      </c>
      <c r="I1" s="1" t="inlineStr">
        <is>
          <t>Options</t>
        </is>
      </c>
      <c r="J1" s="1" t="inlineStr">
        <is>
          <t>Correct answer</t>
        </is>
      </c>
      <c r="K1" s="1" t="inlineStr">
        <is>
          <t>Explanation</t>
        </is>
      </c>
      <c r="L1" s="1" t="inlineStr">
        <is>
          <t>Difficulty</t>
        </is>
      </c>
      <c r="M1" s="1" t="inlineStr">
        <is>
          <t>Source reference</t>
        </is>
      </c>
      <c r="N1" s="1" t="inlineStr">
        <is>
          <t>Current status</t>
        </is>
      </c>
      <c r="O1" s="1" t="inlineStr">
        <is>
          <t>Expert decision</t>
        </is>
      </c>
      <c r="P1" s="1" t="inlineStr">
        <is>
          <t>Corrected question</t>
        </is>
      </c>
      <c r="Q1" s="1" t="inlineStr">
        <is>
          <t>Corrected answer</t>
        </is>
      </c>
      <c r="R1" s="1" t="inlineStr">
        <is>
          <t>Expert comments</t>
        </is>
      </c>
      <c r="S1" s="1" t="inlineStr">
        <is>
          <t>Reviewer name</t>
        </is>
      </c>
      <c r="T1" s="1" t="inlineStr">
        <is>
          <t>Qualification</t>
        </is>
      </c>
      <c r="U1" s="1" t="inlineStr">
        <is>
          <t>Review date</t>
        </is>
      </c>
    </row>
    <row r="2" ht="46" customHeight="1">
      <c r="A2" s="2" t="inlineStr">
        <is>
          <t>C10-2627-SCI-REQ022-REASS-001</t>
        </is>
      </c>
      <c r="B2" s="2" t="inlineStr">
        <is>
          <t>Science</t>
        </is>
      </c>
      <c r="C2" s="2" t="inlineStr">
        <is>
          <t>World of Living</t>
        </is>
      </c>
      <c r="D2" s="2" t="inlineStr">
        <is>
          <t>Life Processes</t>
        </is>
      </c>
      <c r="E2" s="2" t="inlineStr">
        <is>
          <t>REQ_SCI_2026_022</t>
        </is>
      </c>
      <c r="F2" s="2" t="inlineStr">
        <is>
          <t>LO_5.1.1.1 — Define life processes and explain why simple diffusion is inadequate for multicellular organisms.</t>
        </is>
      </c>
      <c r="G2" s="2" t="inlineStr">
        <is>
          <t>What are Life Processes?</t>
        </is>
      </c>
      <c r="H2" s="2" t="inlineStr">
        <is>
          <t>Explain why simple diffusion alone cannot meet the oxygen requirement of a large multicellular animal, while it is sufficient for a single-celled organism such as an amoeba.</t>
        </is>
      </c>
      <c r="I2" s="2" t="inlineStr">
        <is>
          <t>(constructed response)</t>
        </is>
      </c>
      <c r="J2" s="2" t="inlineStr">
        <is>
          <t>Because in a large body most cells are far from the surface, so diffusion is far too slow and the surface area to volume ratio is too small; a specialised transport system is needed.</t>
        </is>
      </c>
      <c r="K2" s="2" t="inlineStr">
        <is>
          <t>Diffusion is effective only over very short distances. An amoeba has a high surface area to volume ratio and every part of its body is in contact with the surrounding water, so gases reach all of its cytoplasm quickly. In a large animal the inner cells are many centimetres from the surface and the surface area per unit volume is small, so oxygen would arrive far too slowly to sustain respiration, making circulatory and respiratory systems necessary.</t>
        </is>
      </c>
      <c r="L2" s="2" t="n">
        <v>3</v>
      </c>
      <c r="M2" s="2" t="inlineStr">
        <is>
          <t>Science_SecP1_2026-27.pdf Page 6</t>
        </is>
      </c>
      <c r="N2" s="2" t="inlineStr">
        <is>
          <t>draft / unverified / REVIEW_PENDING</t>
        </is>
      </c>
      <c r="O2" s="3" t="inlineStr"/>
      <c r="P2" s="3" t="inlineStr"/>
      <c r="Q2" s="3" t="inlineStr"/>
      <c r="R2" s="3" t="inlineStr"/>
      <c r="S2" s="3" t="inlineStr"/>
      <c r="T2" s="3" t="inlineStr"/>
      <c r="U2" s="3" t="inlineStr"/>
    </row>
    <row r="3" ht="46" customHeight="1">
      <c r="A3" s="2" t="inlineStr">
        <is>
          <t>C10-2627-SCI-REQ039-DIAG-001</t>
        </is>
      </c>
      <c r="B3" s="2" t="inlineStr">
        <is>
          <t>Science</t>
        </is>
      </c>
      <c r="C3" s="2" t="inlineStr">
        <is>
          <t>Natural Phenomena</t>
        </is>
      </c>
      <c r="D3" s="2" t="inlineStr">
        <is>
          <t>The Human Eye and the Colourful World</t>
        </is>
      </c>
      <c r="E3" s="2" t="inlineStr">
        <is>
          <t>REQ_SCI_2026_039</t>
        </is>
      </c>
      <c r="F3" s="2" t="inlineStr">
        <is>
          <t>LO_10.1.1.1 — Explain eye accommodation and correct Myopia, Hypermetropia, and Presbyopia using spherical lenses.</t>
        </is>
      </c>
      <c r="G3" s="2" t="inlineStr">
        <is>
          <t>The Human Eye</t>
        </is>
      </c>
      <c r="H3" s="2" t="inlineStr">
        <is>
          <t>A person suffering from myopia can see distinctly only up to 80 cm. Find the nature and power of the corrective lens required for distant vision.</t>
        </is>
      </c>
      <c r="I3" s="2" t="inlineStr">
        <is>
          <t>(constructed response)</t>
        </is>
      </c>
      <c r="J3" s="2" t="inlineStr">
        <is>
          <t>A concave lens of power -1.25 dioptre</t>
        </is>
      </c>
      <c r="K3" s="2" t="inlineStr">
        <is>
          <t>The lens must form the image of a distant object at the far point, so f = -80 cm = -0.8 m and P = 1/(-0.8) = -1.25 D, which is a diverging concave lens.</t>
        </is>
      </c>
      <c r="L3" s="2" t="n">
        <v>3</v>
      </c>
      <c r="M3" s="2" t="inlineStr">
        <is>
          <t>Science_SecP1_2026-27.pdf Page 7</t>
        </is>
      </c>
      <c r="N3" s="2" t="inlineStr">
        <is>
          <t>draft / unverified / REVIEW_PENDING</t>
        </is>
      </c>
      <c r="O3" s="3" t="inlineStr"/>
      <c r="P3" s="3" t="inlineStr"/>
      <c r="Q3" s="3" t="inlineStr"/>
      <c r="R3" s="3" t="inlineStr"/>
      <c r="S3" s="3" t="inlineStr"/>
      <c r="T3" s="3" t="inlineStr"/>
      <c r="U3" s="3" t="inlineStr"/>
    </row>
    <row r="4" ht="46" customHeight="1">
      <c r="A4" s="2" t="inlineStr">
        <is>
          <t>C10-2627-SCI-REQ039-DIAG-002</t>
        </is>
      </c>
      <c r="B4" s="2" t="inlineStr">
        <is>
          <t>Science</t>
        </is>
      </c>
      <c r="C4" s="2" t="inlineStr">
        <is>
          <t>Natural Phenomena</t>
        </is>
      </c>
      <c r="D4" s="2" t="inlineStr">
        <is>
          <t>The Human Eye and the Colourful World</t>
        </is>
      </c>
      <c r="E4" s="2" t="inlineStr">
        <is>
          <t>REQ_SCI_2026_039</t>
        </is>
      </c>
      <c r="F4" s="2" t="inlineStr">
        <is>
          <t>LO_10.1.1.1 — Explain eye accommodation and correct Myopia, Hypermetropia, and Presbyopia using spherical lenses.</t>
        </is>
      </c>
      <c r="G4" s="2" t="inlineStr">
        <is>
          <t>The Human Eye</t>
        </is>
      </c>
      <c r="H4" s="2" t="inlineStr">
        <is>
          <t>The ability of the eye lens to change its curvature and focus objects at different distances is called</t>
        </is>
      </c>
      <c r="I4" s="2" t="inlineStr">
        <is>
          <t>A. scattering
B. accommodation
C. dispersion
D. persistence of vision</t>
        </is>
      </c>
      <c r="J4" s="2" t="inlineStr">
        <is>
          <t>accommodation</t>
        </is>
      </c>
      <c r="K4" s="2" t="inlineStr">
        <is>
          <t>Ciliary muscles alter the curvature and hence the focal length of the eye lens, and this ability is termed accommodation.</t>
        </is>
      </c>
      <c r="L4" s="2" t="n">
        <v>2</v>
      </c>
      <c r="M4" s="2" t="inlineStr">
        <is>
          <t>Science_SecP1_2026-27.pdf Page 7</t>
        </is>
      </c>
      <c r="N4" s="2" t="inlineStr">
        <is>
          <t>draft / unverified / REVIEW_PENDING</t>
        </is>
      </c>
      <c r="O4" s="3" t="inlineStr"/>
      <c r="P4" s="3" t="inlineStr"/>
      <c r="Q4" s="3" t="inlineStr"/>
      <c r="R4" s="3" t="inlineStr"/>
      <c r="S4" s="3" t="inlineStr"/>
      <c r="T4" s="3" t="inlineStr"/>
      <c r="U4" s="3" t="inlineStr"/>
    </row>
    <row r="5" ht="46" customHeight="1">
      <c r="A5" s="2" t="inlineStr">
        <is>
          <t>C10-2627-SCI-REQ039-REASS-001</t>
        </is>
      </c>
      <c r="B5" s="2" t="inlineStr">
        <is>
          <t>Science</t>
        </is>
      </c>
      <c r="C5" s="2" t="inlineStr">
        <is>
          <t>Natural Phenomena</t>
        </is>
      </c>
      <c r="D5" s="2" t="inlineStr">
        <is>
          <t>The Human Eye and the Colourful World</t>
        </is>
      </c>
      <c r="E5" s="2" t="inlineStr">
        <is>
          <t>REQ_SCI_2026_039</t>
        </is>
      </c>
      <c r="F5" s="2" t="inlineStr">
        <is>
          <t>LO_10.1.1.1 — Explain eye accommodation and correct Myopia, Hypermetropia, and Presbyopia using spherical lenses.</t>
        </is>
      </c>
      <c r="G5" s="2" t="inlineStr">
        <is>
          <t>The Human Eye</t>
        </is>
      </c>
      <c r="H5" s="2" t="inlineStr">
        <is>
          <t>A person with hypermetropia has a near point of 50 cm. Find the power of the lens needed so that the person can read comfortably at the normal near point of 25 cm.</t>
        </is>
      </c>
      <c r="I5" s="2" t="inlineStr">
        <is>
          <t>(constructed response)</t>
        </is>
      </c>
      <c r="J5" s="2" t="inlineStr">
        <is>
          <t>+2 dioptre</t>
        </is>
      </c>
      <c r="K5" s="2" t="inlineStr">
        <is>
          <t>The lens must form a virtual image at 50 cm of an object placed at 25 cm, so 1/f = 1/(-50) - 1/(-25) = 1/50, f = +50 cm and P = 1/0.5 = +2 D, a converging convex lens.</t>
        </is>
      </c>
      <c r="L5" s="2" t="n">
        <v>4</v>
      </c>
      <c r="M5" s="2" t="inlineStr">
        <is>
          <t>Science_SecP1_2026-27.pdf Page 7</t>
        </is>
      </c>
      <c r="N5" s="2" t="inlineStr">
        <is>
          <t>draft / unverified / REVIEW_PENDING</t>
        </is>
      </c>
      <c r="O5" s="3" t="inlineStr"/>
      <c r="P5" s="3" t="inlineStr"/>
      <c r="Q5" s="3" t="inlineStr"/>
      <c r="R5" s="3" t="inlineStr"/>
      <c r="S5" s="3" t="inlineStr"/>
      <c r="T5" s="3" t="inlineStr"/>
      <c r="U5" s="3" t="inlineStr"/>
    </row>
    <row r="6" ht="46" customHeight="1">
      <c r="A6" s="2" t="inlineStr">
        <is>
          <t>C10-2627-SCI-REQ039-REASS-002</t>
        </is>
      </c>
      <c r="B6" s="2" t="inlineStr">
        <is>
          <t>Science</t>
        </is>
      </c>
      <c r="C6" s="2" t="inlineStr">
        <is>
          <t>Natural Phenomena</t>
        </is>
      </c>
      <c r="D6" s="2" t="inlineStr">
        <is>
          <t>The Human Eye and the Colourful World</t>
        </is>
      </c>
      <c r="E6" s="2" t="inlineStr">
        <is>
          <t>REQ_SCI_2026_039</t>
        </is>
      </c>
      <c r="F6" s="2" t="inlineStr">
        <is>
          <t>LO_10.1.1.1 — Explain eye accommodation and correct Myopia, Hypermetropia, and Presbyopia using spherical lenses.</t>
        </is>
      </c>
      <c r="G6" s="2" t="inlineStr">
        <is>
          <t>The Human Eye</t>
        </is>
      </c>
      <c r="H6" s="2" t="inlineStr">
        <is>
          <t>State what presbyopia is and explain why a bifocal lens is commonly prescribed for it.</t>
        </is>
      </c>
      <c r="I6" s="2" t="inlineStr">
        <is>
          <t>(constructed response)</t>
        </is>
      </c>
      <c r="J6" s="2" t="inlineStr">
        <is>
          <t>It is the age-related loss of accommodation; a bifocal lens has a concave upper part for distant vision and a convex lower part for near vision.</t>
        </is>
      </c>
      <c r="K6" s="2" t="inlineStr">
        <is>
          <t>With age the ciliary muscles weaken and the eye lens becomes less flexible, so the near point recedes and distant vision may also be affected. A bifocal lens combines the two required corrections in one spectacle lens.</t>
        </is>
      </c>
      <c r="L6" s="2" t="n">
        <v>3</v>
      </c>
      <c r="M6" s="2" t="inlineStr">
        <is>
          <t>Science_SecP1_2026-27.pdf Page 7</t>
        </is>
      </c>
      <c r="N6" s="2" t="inlineStr">
        <is>
          <t>draft / unverified / REVIEW_PENDING</t>
        </is>
      </c>
      <c r="O6" s="3" t="inlineStr"/>
      <c r="P6" s="3" t="inlineStr"/>
      <c r="Q6" s="3" t="inlineStr"/>
      <c r="R6" s="3" t="inlineStr"/>
      <c r="S6" s="3" t="inlineStr"/>
      <c r="T6" s="3" t="inlineStr"/>
      <c r="U6" s="3" t="inlineStr"/>
    </row>
    <row r="7" ht="46" customHeight="1">
      <c r="A7" s="2" t="inlineStr">
        <is>
          <t>C10-2627-SCI-REQ039-REASS-003</t>
        </is>
      </c>
      <c r="B7" s="2" t="inlineStr">
        <is>
          <t>Science</t>
        </is>
      </c>
      <c r="C7" s="2" t="inlineStr">
        <is>
          <t>Natural Phenomena</t>
        </is>
      </c>
      <c r="D7" s="2" t="inlineStr">
        <is>
          <t>The Human Eye and the Colourful World</t>
        </is>
      </c>
      <c r="E7" s="2" t="inlineStr">
        <is>
          <t>REQ_SCI_2026_039</t>
        </is>
      </c>
      <c r="F7" s="2" t="inlineStr">
        <is>
          <t>LO_10.1.1.1 — Explain eye accommodation and correct Myopia, Hypermetropia, and Presbyopia using spherical lenses.</t>
        </is>
      </c>
      <c r="G7" s="2" t="inlineStr">
        <is>
          <t>The Human Eye</t>
        </is>
      </c>
      <c r="H7" s="2" t="inlineStr">
        <is>
          <t>Myopia is corrected by using</t>
        </is>
      </c>
      <c r="I7" s="2" t="inlineStr">
        <is>
          <t>A. a plane glass sheet
B. a bifocal lens in every case
C. a concave lens of suitable power
D. a convex lens of suitable power</t>
        </is>
      </c>
      <c r="J7" s="2" t="inlineStr">
        <is>
          <t>a concave lens of suitable power</t>
        </is>
      </c>
      <c r="K7" s="2" t="inlineStr">
        <is>
          <t>In myopia the image of a distant object forms in front of the retina, so a diverging concave lens is used to push the image back onto the retina.</t>
        </is>
      </c>
      <c r="L7" s="2" t="n">
        <v>2</v>
      </c>
      <c r="M7" s="2" t="inlineStr">
        <is>
          <t>Science_SecP1_2026-27.pdf Page 7</t>
        </is>
      </c>
      <c r="N7" s="2" t="inlineStr">
        <is>
          <t>draft / unverified / REVIEW_PENDING</t>
        </is>
      </c>
      <c r="O7" s="3" t="inlineStr"/>
      <c r="P7" s="3" t="inlineStr"/>
      <c r="Q7" s="3" t="inlineStr"/>
      <c r="R7" s="3" t="inlineStr"/>
      <c r="S7" s="3" t="inlineStr"/>
      <c r="T7" s="3" t="inlineStr"/>
      <c r="U7" s="3" t="inlineStr"/>
    </row>
    <row r="8" ht="46" customHeight="1">
      <c r="A8" s="2" t="inlineStr">
        <is>
          <t>C10-2627-SCI-REQ039-REASS-004</t>
        </is>
      </c>
      <c r="B8" s="2" t="inlineStr">
        <is>
          <t>Science</t>
        </is>
      </c>
      <c r="C8" s="2" t="inlineStr">
        <is>
          <t>Natural Phenomena</t>
        </is>
      </c>
      <c r="D8" s="2" t="inlineStr">
        <is>
          <t>The Human Eye and the Colourful World</t>
        </is>
      </c>
      <c r="E8" s="2" t="inlineStr">
        <is>
          <t>REQ_SCI_2026_039</t>
        </is>
      </c>
      <c r="F8" s="2" t="inlineStr">
        <is>
          <t>LO_10.1.1.1 — Explain eye accommodation and correct Myopia, Hypermetropia, and Presbyopia using spherical lenses.</t>
        </is>
      </c>
      <c r="G8" s="2" t="inlineStr">
        <is>
          <t>The Human Eye</t>
        </is>
      </c>
      <c r="H8" s="2" t="inlineStr">
        <is>
          <t>A student reads a textbook easily but cannot read the writing on the classroom board from the last bench.
Name the defect of vision and the type of lens required, giving a reason.</t>
        </is>
      </c>
      <c r="I8" s="2" t="inlineStr">
        <is>
          <t>(constructed response)</t>
        </is>
      </c>
      <c r="J8" s="2" t="inlineStr">
        <is>
          <t>Myopia, corrected with a concave lens.</t>
        </is>
      </c>
      <c r="K8" s="2" t="inlineStr">
        <is>
          <t>The student's near vision is normal but distant vision is blurred, which is myopia. A concave lens diverges the incoming light so that the image of the distant board is formed on the retina rather than in front of it.</t>
        </is>
      </c>
      <c r="L8" s="2" t="n">
        <v>3</v>
      </c>
      <c r="M8" s="2" t="inlineStr">
        <is>
          <t>Science_SecP1_2026-27.pdf Page 7</t>
        </is>
      </c>
      <c r="N8" s="2" t="inlineStr">
        <is>
          <t>draft / unverified / REVIEW_PENDING</t>
        </is>
      </c>
      <c r="O8" s="3" t="inlineStr"/>
      <c r="P8" s="3" t="inlineStr"/>
      <c r="Q8" s="3" t="inlineStr"/>
      <c r="R8" s="3" t="inlineStr"/>
      <c r="S8" s="3" t="inlineStr"/>
      <c r="T8" s="3" t="inlineStr"/>
      <c r="U8" s="3" t="inlineStr"/>
    </row>
    <row r="9" ht="46" customHeight="1">
      <c r="A9" s="2" t="inlineStr">
        <is>
          <t>C10-2627-SCI-REQ039-REASS-005</t>
        </is>
      </c>
      <c r="B9" s="2" t="inlineStr">
        <is>
          <t>Science</t>
        </is>
      </c>
      <c r="C9" s="2" t="inlineStr">
        <is>
          <t>Natural Phenomena</t>
        </is>
      </c>
      <c r="D9" s="2" t="inlineStr">
        <is>
          <t>The Human Eye and the Colourful World</t>
        </is>
      </c>
      <c r="E9" s="2" t="inlineStr">
        <is>
          <t>REQ_SCI_2026_039</t>
        </is>
      </c>
      <c r="F9" s="2" t="inlineStr">
        <is>
          <t>LO_10.1.1.1 — Explain eye accommodation and correct Myopia, Hypermetropia, and Presbyopia using spherical lenses.</t>
        </is>
      </c>
      <c r="G9" s="2" t="inlineStr">
        <is>
          <t>The Human Eye</t>
        </is>
      </c>
      <c r="H9" s="2" t="inlineStr">
        <is>
          <t>Assertion (A): The least distance of distinct vision for a normal adult eye is taken as 25 cm.
Reason (R): The eye lens can go on increasing its curvature without any limit.
Choose the correct option.</t>
        </is>
      </c>
      <c r="I9" s="2" t="inlineStr">
        <is>
          <t>A. Both A and R are true and R is the correct explanation of A.
B. Both A and R are true but R is not the correct explanation of A.
C. A is true but R is false.
D. A is false but R is true.</t>
        </is>
      </c>
      <c r="J9" s="2" t="inlineStr">
        <is>
          <t>A is true but R is false.</t>
        </is>
      </c>
      <c r="K9" s="2" t="inlineStr">
        <is>
          <t>The standard near point is indeed about 25 cm, but the curvature of the eye lens cannot increase indefinitely, which is precisely why a near point exists.</t>
        </is>
      </c>
      <c r="L9" s="2" t="n">
        <v>2</v>
      </c>
      <c r="M9" s="2" t="inlineStr">
        <is>
          <t>Science_SecP1_2026-27.pdf Page 7</t>
        </is>
      </c>
      <c r="N9" s="2" t="inlineStr">
        <is>
          <t>draft / unverified / REVIEW_PENDING</t>
        </is>
      </c>
      <c r="O9" s="3" t="inlineStr"/>
      <c r="P9" s="3" t="inlineStr"/>
      <c r="Q9" s="3" t="inlineStr"/>
      <c r="R9" s="3" t="inlineStr"/>
      <c r="S9" s="3" t="inlineStr"/>
      <c r="T9" s="3" t="inlineStr"/>
      <c r="U9" s="3" t="inlineStr"/>
    </row>
    <row r="10" ht="46" customHeight="1">
      <c r="A10" s="2" t="inlineStr">
        <is>
          <t>C10-2627-SCI-REQ039-DIAG-003</t>
        </is>
      </c>
      <c r="B10" s="2" t="inlineStr">
        <is>
          <t>Science</t>
        </is>
      </c>
      <c r="C10" s="2" t="inlineStr">
        <is>
          <t>Natural Phenomena</t>
        </is>
      </c>
      <c r="D10" s="2" t="inlineStr">
        <is>
          <t>The Human Eye and the Colourful World</t>
        </is>
      </c>
      <c r="E10" s="2" t="inlineStr">
        <is>
          <t>REQ_SCI_2026_039, REQ_SCI_2026_040</t>
        </is>
      </c>
      <c r="F10" s="2" t="inlineStr">
        <is>
          <t>LO_10.2.1.1 — Analyze light dispersion, atmospheric refraction (twinkling), and Rayleigh scattering (blue sky/red sunset).</t>
        </is>
      </c>
      <c r="G10" s="2" t="inlineStr">
        <is>
          <t>Prismatic Dispersion and Atmospheric Optics</t>
        </is>
      </c>
      <c r="H10" s="2" t="inlineStr">
        <is>
          <t>Explain why the clear sky appears blue during the day.</t>
        </is>
      </c>
      <c r="I10" s="2" t="inlineStr">
        <is>
          <t>(constructed response)</t>
        </is>
      </c>
      <c r="J10" s="2" t="inlineStr">
        <is>
          <t>Because the fine molecules of air scatter shorter blue wavelengths much more strongly than longer red wavelengths.</t>
        </is>
      </c>
      <c r="K10" s="2" t="inlineStr">
        <is>
          <t>According to Rayleigh scattering, the scattered intensity is much greater for shorter wavelengths. Air molecules therefore scatter blue light far more than red, and this scattered blue light reaching the eye from all directions makes the sky look blue.</t>
        </is>
      </c>
      <c r="L10" s="2" t="n">
        <v>3</v>
      </c>
      <c r="M10" s="2" t="inlineStr">
        <is>
          <t>Science_SecP1_2026-27.pdf Page 7</t>
        </is>
      </c>
      <c r="N10" s="2" t="inlineStr">
        <is>
          <t>draft / unverified / REVIEW_PENDING</t>
        </is>
      </c>
      <c r="O10" s="3" t="inlineStr"/>
      <c r="P10" s="3" t="inlineStr"/>
      <c r="Q10" s="3" t="inlineStr"/>
      <c r="R10" s="3" t="inlineStr"/>
      <c r="S10" s="3" t="inlineStr"/>
      <c r="T10" s="3" t="inlineStr"/>
      <c r="U10" s="3" t="inlineStr"/>
    </row>
    <row r="11" ht="46" customHeight="1">
      <c r="A11" s="2" t="inlineStr">
        <is>
          <t>C10-2627-SCI-REQ039-DIAG-004</t>
        </is>
      </c>
      <c r="B11" s="2" t="inlineStr">
        <is>
          <t>Science</t>
        </is>
      </c>
      <c r="C11" s="2" t="inlineStr">
        <is>
          <t>Natural Phenomena</t>
        </is>
      </c>
      <c r="D11" s="2" t="inlineStr">
        <is>
          <t>The Human Eye and the Colourful World</t>
        </is>
      </c>
      <c r="E11" s="2" t="inlineStr">
        <is>
          <t>REQ_SCI_2026_039, REQ_SCI_2026_040</t>
        </is>
      </c>
      <c r="F11" s="2" t="inlineStr">
        <is>
          <t>LO_10.2.1.1 — Analyze light dispersion, atmospheric refraction (twinkling), and Rayleigh scattering (blue sky/red sunset).</t>
        </is>
      </c>
      <c r="G11" s="2" t="inlineStr">
        <is>
          <t>Prismatic Dispersion and Atmospheric Optics</t>
        </is>
      </c>
      <c r="H11" s="2" t="inlineStr">
        <is>
          <t>White light splits into its constituent colours on passing through a glass prism because</t>
        </is>
      </c>
      <c r="I11" s="2" t="inlineStr">
        <is>
          <t>A. the prism adds new colours to the light
B. all colours travel with the same speed in glass
C. the prism reflects each colour separately
D. different colours are refracted through different angles</t>
        </is>
      </c>
      <c r="J11" s="2" t="inlineStr">
        <is>
          <t>different colours are refracted through different angles</t>
        </is>
      </c>
      <c r="K11" s="2" t="inlineStr">
        <is>
          <t>Each colour has a different speed in glass and hence a different refractive index, so each is deviated by a different amount, producing a spectrum.</t>
        </is>
      </c>
      <c r="L11" s="2" t="n">
        <v>2</v>
      </c>
      <c r="M11" s="2" t="inlineStr">
        <is>
          <t>Science_SecP1_2026-27.pdf Page 7</t>
        </is>
      </c>
      <c r="N11" s="2" t="inlineStr">
        <is>
          <t>draft / unverified / REVIEW_PENDING</t>
        </is>
      </c>
      <c r="O11" s="3" t="inlineStr"/>
      <c r="P11" s="3" t="inlineStr"/>
      <c r="Q11" s="3" t="inlineStr"/>
      <c r="R11" s="3" t="inlineStr"/>
      <c r="S11" s="3" t="inlineStr"/>
      <c r="T11" s="3" t="inlineStr"/>
      <c r="U11" s="3" t="inlineStr"/>
    </row>
    <row r="12" ht="46" customHeight="1">
      <c r="A12" s="2" t="inlineStr">
        <is>
          <t>C10-2627-SCI-REQ039-REASS-006</t>
        </is>
      </c>
      <c r="B12" s="2" t="inlineStr">
        <is>
          <t>Science</t>
        </is>
      </c>
      <c r="C12" s="2" t="inlineStr">
        <is>
          <t>Natural Phenomena</t>
        </is>
      </c>
      <c r="D12" s="2" t="inlineStr">
        <is>
          <t>The Human Eye and the Colourful World</t>
        </is>
      </c>
      <c r="E12" s="2" t="inlineStr">
        <is>
          <t>REQ_SCI_2026_039, REQ_SCI_2026_040</t>
        </is>
      </c>
      <c r="F12" s="2" t="inlineStr">
        <is>
          <t>LO_10.2.1.1 — Analyze light dispersion, atmospheric refraction (twinkling), and Rayleigh scattering (blue sky/red sunset).</t>
        </is>
      </c>
      <c r="G12" s="2" t="inlineStr">
        <is>
          <t>Prismatic Dispersion and Atmospheric Optics</t>
        </is>
      </c>
      <c r="H12" s="2" t="inlineStr">
        <is>
          <t>Explain why the sun appears reddish at sunrise and sunset.</t>
        </is>
      </c>
      <c r="I12" s="2" t="inlineStr">
        <is>
          <t>(constructed response)</t>
        </is>
      </c>
      <c r="J12" s="2" t="inlineStr">
        <is>
          <t>Near the horizon sunlight travels a long path through the atmosphere, so most of the blue light is scattered away and mainly red light reaches the observer.</t>
        </is>
      </c>
      <c r="K12" s="2" t="inlineStr">
        <is>
          <t>At sunrise and sunset the light must pass through a much greater thickness of atmosphere. Shorter wavelengths are scattered out of the direct beam, leaving predominantly the longer red wavelengths to reach the eye.</t>
        </is>
      </c>
      <c r="L12" s="2" t="n">
        <v>3</v>
      </c>
      <c r="M12" s="2" t="inlineStr">
        <is>
          <t>Science_SecP1_2026-27.pdf Page 7</t>
        </is>
      </c>
      <c r="N12" s="2" t="inlineStr">
        <is>
          <t>draft / unverified / REVIEW_PENDING</t>
        </is>
      </c>
      <c r="O12" s="3" t="inlineStr"/>
      <c r="P12" s="3" t="inlineStr"/>
      <c r="Q12" s="3" t="inlineStr"/>
      <c r="R12" s="3" t="inlineStr"/>
      <c r="S12" s="3" t="inlineStr"/>
      <c r="T12" s="3" t="inlineStr"/>
      <c r="U12" s="3" t="inlineStr"/>
    </row>
    <row r="13" ht="46" customHeight="1">
      <c r="A13" s="2" t="inlineStr">
        <is>
          <t>C10-2627-SCI-REQ039-REASS-007</t>
        </is>
      </c>
      <c r="B13" s="2" t="inlineStr">
        <is>
          <t>Science</t>
        </is>
      </c>
      <c r="C13" s="2" t="inlineStr">
        <is>
          <t>Natural Phenomena</t>
        </is>
      </c>
      <c r="D13" s="2" t="inlineStr">
        <is>
          <t>The Human Eye and the Colourful World</t>
        </is>
      </c>
      <c r="E13" s="2" t="inlineStr">
        <is>
          <t>REQ_SCI_2026_039, REQ_SCI_2026_040</t>
        </is>
      </c>
      <c r="F13" s="2" t="inlineStr">
        <is>
          <t>LO_10.2.1.1 — Analyze light dispersion, atmospheric refraction (twinkling), and Rayleigh scattering (blue sky/red sunset).</t>
        </is>
      </c>
      <c r="G13" s="2" t="inlineStr">
        <is>
          <t>Prismatic Dispersion and Atmospheric Optics</t>
        </is>
      </c>
      <c r="H13" s="2" t="inlineStr">
        <is>
          <t>Explain why stars twinkle but planets generally do not.</t>
        </is>
      </c>
      <c r="I13" s="2" t="inlineStr">
        <is>
          <t>(constructed response)</t>
        </is>
      </c>
      <c r="J13" s="2" t="inlineStr">
        <is>
          <t>Stars are point sources whose light is refracted by continually changing layers of air, whereas planets are extended sources whose many points average out.</t>
        </is>
      </c>
      <c r="K13" s="2" t="inlineStr">
        <is>
          <t>Atmospheric refraction changes constantly as air layers move, so the apparent position and brightness of a point-like star fluctuate. A planet subtends a larger angle and acts as a collection of point sources whose variations cancel, so its light appears steady.</t>
        </is>
      </c>
      <c r="L13" s="2" t="n">
        <v>3</v>
      </c>
      <c r="M13" s="2" t="inlineStr">
        <is>
          <t>Science_SecP1_2026-27.pdf Page 7</t>
        </is>
      </c>
      <c r="N13" s="2" t="inlineStr">
        <is>
          <t>draft / unverified / REVIEW_PENDING</t>
        </is>
      </c>
      <c r="O13" s="3" t="inlineStr"/>
      <c r="P13" s="3" t="inlineStr"/>
      <c r="Q13" s="3" t="inlineStr"/>
      <c r="R13" s="3" t="inlineStr"/>
      <c r="S13" s="3" t="inlineStr"/>
      <c r="T13" s="3" t="inlineStr"/>
      <c r="U13" s="3" t="inlineStr"/>
    </row>
    <row r="14" ht="46" customHeight="1">
      <c r="A14" s="2" t="inlineStr">
        <is>
          <t>C10-2627-SCI-REQ039-REASS-008</t>
        </is>
      </c>
      <c r="B14" s="2" t="inlineStr">
        <is>
          <t>Science</t>
        </is>
      </c>
      <c r="C14" s="2" t="inlineStr">
        <is>
          <t>Natural Phenomena</t>
        </is>
      </c>
      <c r="D14" s="2" t="inlineStr">
        <is>
          <t>The Human Eye and the Colourful World</t>
        </is>
      </c>
      <c r="E14" s="2" t="inlineStr">
        <is>
          <t>REQ_SCI_2026_039, REQ_SCI_2026_040</t>
        </is>
      </c>
      <c r="F14" s="2" t="inlineStr">
        <is>
          <t>LO_10.2.1.1 — Analyze light dispersion, atmospheric refraction (twinkling), and Rayleigh scattering (blue sky/red sunset).</t>
        </is>
      </c>
      <c r="G14" s="2" t="inlineStr">
        <is>
          <t>Prismatic Dispersion and Atmospheric Optics</t>
        </is>
      </c>
      <c r="H14" s="2" t="inlineStr">
        <is>
          <t>Among the colours of the visible spectrum passing through a prism, the greatest deviation is suffered by</t>
        </is>
      </c>
      <c r="I14" s="2" t="inlineStr">
        <is>
          <t>A. green
B. violet
C. red
D. yellow</t>
        </is>
      </c>
      <c r="J14" s="2" t="inlineStr">
        <is>
          <t>violet</t>
        </is>
      </c>
      <c r="K14" s="2" t="inlineStr">
        <is>
          <t>Violet has the shortest wavelength and the greatest refractive index in glass, so it is deviated most.</t>
        </is>
      </c>
      <c r="L14" s="2" t="n">
        <v>2</v>
      </c>
      <c r="M14" s="2" t="inlineStr">
        <is>
          <t>Science_SecP1_2026-27.pdf Page 7</t>
        </is>
      </c>
      <c r="N14" s="2" t="inlineStr">
        <is>
          <t>draft / unverified / REVIEW_PENDING</t>
        </is>
      </c>
      <c r="O14" s="3" t="inlineStr"/>
      <c r="P14" s="3" t="inlineStr"/>
      <c r="Q14" s="3" t="inlineStr"/>
      <c r="R14" s="3" t="inlineStr"/>
      <c r="S14" s="3" t="inlineStr"/>
      <c r="T14" s="3" t="inlineStr"/>
      <c r="U14" s="3" t="inlineStr"/>
    </row>
    <row r="15" ht="46" customHeight="1">
      <c r="A15" s="2" t="inlineStr">
        <is>
          <t>C10-2627-SCI-REQ039-REASS-009</t>
        </is>
      </c>
      <c r="B15" s="2" t="inlineStr">
        <is>
          <t>Science</t>
        </is>
      </c>
      <c r="C15" s="2" t="inlineStr">
        <is>
          <t>Natural Phenomena</t>
        </is>
      </c>
      <c r="D15" s="2" t="inlineStr">
        <is>
          <t>The Human Eye and the Colourful World</t>
        </is>
      </c>
      <c r="E15" s="2" t="inlineStr">
        <is>
          <t>REQ_SCI_2026_039, REQ_SCI_2026_040</t>
        </is>
      </c>
      <c r="F15" s="2" t="inlineStr">
        <is>
          <t>LO_10.2.1.1 — Analyze light dispersion, atmospheric refraction (twinkling), and Rayleigh scattering (blue sky/red sunset).</t>
        </is>
      </c>
      <c r="G15" s="2" t="inlineStr">
        <is>
          <t>Prismatic Dispersion and Atmospheric Optics</t>
        </is>
      </c>
      <c r="H15" s="2" t="inlineStr">
        <is>
          <t>After a shower, an observer standing with the sun behind sees a rainbow in the sky.
Name the three optical effects that together produce the rainbow in the water droplets.</t>
        </is>
      </c>
      <c r="I15" s="2" t="inlineStr">
        <is>
          <t>(constructed response)</t>
        </is>
      </c>
      <c r="J15" s="2" t="inlineStr">
        <is>
          <t>Refraction, internal reflection and dispersion of sunlight in the droplets.</t>
        </is>
      </c>
      <c r="K15" s="2" t="inlineStr">
        <is>
          <t>Sunlight refracts on entering a droplet and disperses into colours, reflects internally at the rear surface, and refracts again on leaving, so the separated colours emerge in different directions and form the arc.</t>
        </is>
      </c>
      <c r="L15" s="2" t="n">
        <v>3</v>
      </c>
      <c r="M15" s="2" t="inlineStr">
        <is>
          <t>Science_SecP1_2026-27.pdf Page 7</t>
        </is>
      </c>
      <c r="N15" s="2" t="inlineStr">
        <is>
          <t>draft / unverified / REVIEW_PENDING</t>
        </is>
      </c>
      <c r="O15" s="3" t="inlineStr"/>
      <c r="P15" s="3" t="inlineStr"/>
      <c r="Q15" s="3" t="inlineStr"/>
      <c r="R15" s="3" t="inlineStr"/>
      <c r="S15" s="3" t="inlineStr"/>
      <c r="T15" s="3" t="inlineStr"/>
      <c r="U15" s="3" t="inlineStr"/>
    </row>
    <row r="16" ht="46" customHeight="1">
      <c r="A16" s="2" t="inlineStr">
        <is>
          <t>C10-2627-SCI-REQ039-REASS-010</t>
        </is>
      </c>
      <c r="B16" s="2" t="inlineStr">
        <is>
          <t>Science</t>
        </is>
      </c>
      <c r="C16" s="2" t="inlineStr">
        <is>
          <t>Natural Phenomena</t>
        </is>
      </c>
      <c r="D16" s="2" t="inlineStr">
        <is>
          <t>The Human Eye and the Colourful World</t>
        </is>
      </c>
      <c r="E16" s="2" t="inlineStr">
        <is>
          <t>REQ_SCI_2026_039, REQ_SCI_2026_040</t>
        </is>
      </c>
      <c r="F16" s="2" t="inlineStr">
        <is>
          <t>LO_10.2.1.1 — Analyze light dispersion, atmospheric refraction (twinkling), and Rayleigh scattering (blue sky/red sunset).</t>
        </is>
      </c>
      <c r="G16" s="2" t="inlineStr">
        <is>
          <t>Prismatic Dispersion and Atmospheric Optics</t>
        </is>
      </c>
      <c r="H16" s="2" t="inlineStr">
        <is>
          <t>Assertion (A): The sun is visible a little before actual sunrise.
Reason (R): Light from the sun bends as it passes through atmospheric layers of increasing density.
Choose the correct option.</t>
        </is>
      </c>
      <c r="I16" s="2" t="inlineStr">
        <is>
          <t>A. Both A and R are true and R is the correct explanation of A.
B. Both A and R are true but R is not the correct explanation of A.
C. A is true but R is false.
D. A is false but R is true.</t>
        </is>
      </c>
      <c r="J16" s="2" t="inlineStr">
        <is>
          <t>Both A and R are true and R is the correct explanation of A.</t>
        </is>
      </c>
      <c r="K16" s="2" t="inlineStr">
        <is>
          <t>Atmospheric refraction bends the sunlight towards the observer, so the sun's apparent position is higher than its true position and it becomes visible about two minutes early.</t>
        </is>
      </c>
      <c r="L16" s="2" t="n">
        <v>3</v>
      </c>
      <c r="M16" s="2" t="inlineStr">
        <is>
          <t>Science_SecP1_2026-27.pdf Page 7</t>
        </is>
      </c>
      <c r="N16" s="2" t="inlineStr">
        <is>
          <t>draft / unverified / REVIEW_PENDING</t>
        </is>
      </c>
      <c r="O16" s="3" t="inlineStr"/>
      <c r="P16" s="3" t="inlineStr"/>
      <c r="Q16" s="3" t="inlineStr"/>
      <c r="R16" s="3" t="inlineStr"/>
      <c r="S16" s="3" t="inlineStr"/>
      <c r="T16" s="3" t="inlineStr"/>
      <c r="U16" s="3" t="inlineStr"/>
    </row>
    <row r="17" ht="46" customHeight="1">
      <c r="A17" s="2" t="inlineStr">
        <is>
          <t>C10-2627-SCI-REQ037-DIAG-001</t>
        </is>
      </c>
      <c r="B17" s="2" t="inlineStr">
        <is>
          <t>Science</t>
        </is>
      </c>
      <c r="C17" s="2" t="inlineStr">
        <is>
          <t>Natural Phenomena</t>
        </is>
      </c>
      <c r="D17" s="2" t="inlineStr">
        <is>
          <t>Light – Reflection and Refraction</t>
        </is>
      </c>
      <c r="E17" s="2" t="inlineStr">
        <is>
          <t>REQ_SCI_2026_037, REQ_SCI_2026_038</t>
        </is>
      </c>
      <c r="F17" s="2" t="inlineStr">
        <is>
          <t>LO_9.1.1.1 — Construct ray diagrams for concave/convex mirrors and apply the mirror formula.</t>
        </is>
      </c>
      <c r="G17" s="2" t="inlineStr">
        <is>
          <t>Reflection of Light</t>
        </is>
      </c>
      <c r="H17" s="2" t="inlineStr">
        <is>
          <t>An object is placed 30 cm in front of a concave mirror of focal length 10 cm. Using the mirror formula and the standard sign convention, find the position of the image.</t>
        </is>
      </c>
      <c r="I17" s="2" t="inlineStr">
        <is>
          <t>(constructed response)</t>
        </is>
      </c>
      <c r="J17" s="2" t="inlineStr">
        <is>
          <t>15 cm in front of the mirror, that is v = -15 cm</t>
        </is>
      </c>
      <c r="K17" s="2" t="inlineStr">
        <is>
          <t>With u = -30 cm and f = -10 cm, 1/v = 1/f - 1/u = -1/10 + 1/30 = -1/15, so v = -15 cm and the image forms 15 cm in front of the mirror.</t>
        </is>
      </c>
      <c r="L17" s="2" t="n">
        <v>3</v>
      </c>
      <c r="M17" s="2" t="inlineStr">
        <is>
          <t>Science_SecP1_2026-27.pdf Page 7</t>
        </is>
      </c>
      <c r="N17" s="2" t="inlineStr">
        <is>
          <t>draft / unverified / REVIEW_PENDING</t>
        </is>
      </c>
      <c r="O17" s="3" t="inlineStr"/>
      <c r="P17" s="3" t="inlineStr"/>
      <c r="Q17" s="3" t="inlineStr"/>
      <c r="R17" s="3" t="inlineStr"/>
      <c r="S17" s="3" t="inlineStr"/>
      <c r="T17" s="3" t="inlineStr"/>
      <c r="U17" s="3" t="inlineStr"/>
    </row>
    <row r="18" ht="46" customHeight="1">
      <c r="A18" s="2" t="inlineStr">
        <is>
          <t>C10-2627-SCI-REQ037-DIAG-002</t>
        </is>
      </c>
      <c r="B18" s="2" t="inlineStr">
        <is>
          <t>Science</t>
        </is>
      </c>
      <c r="C18" s="2" t="inlineStr">
        <is>
          <t>Natural Phenomena</t>
        </is>
      </c>
      <c r="D18" s="2" t="inlineStr">
        <is>
          <t>Light – Reflection and Refraction</t>
        </is>
      </c>
      <c r="E18" s="2" t="inlineStr">
        <is>
          <t>REQ_SCI_2026_037, REQ_SCI_2026_038</t>
        </is>
      </c>
      <c r="F18" s="2" t="inlineStr">
        <is>
          <t>LO_9.1.1.1 — Construct ray diagrams for concave/convex mirrors and apply the mirror formula.</t>
        </is>
      </c>
      <c r="G18" s="2" t="inlineStr">
        <is>
          <t>Reflection of Light</t>
        </is>
      </c>
      <c r="H18" s="2" t="inlineStr">
        <is>
          <t>The image formed by a convex mirror of an object placed in front of it is always</t>
        </is>
      </c>
      <c r="I18" s="2" t="inlineStr">
        <is>
          <t>A. virtual, inverted and of the same size
B. virtual, erect and diminished
C. real, inverted and magnified
D. real, erect and diminished</t>
        </is>
      </c>
      <c r="J18" s="2" t="inlineStr">
        <is>
          <t>virtual, erect and diminished</t>
        </is>
      </c>
      <c r="K18" s="2" t="inlineStr">
        <is>
          <t>A convex mirror diverges the reflected rays, so the image is always formed behind the mirror, erect and smaller than the object.</t>
        </is>
      </c>
      <c r="L18" s="2" t="n">
        <v>2</v>
      </c>
      <c r="M18" s="2" t="inlineStr">
        <is>
          <t>Science_SecP1_2026-27.pdf Page 7</t>
        </is>
      </c>
      <c r="N18" s="2" t="inlineStr">
        <is>
          <t>draft / unverified / REVIEW_PENDING</t>
        </is>
      </c>
      <c r="O18" s="3" t="inlineStr"/>
      <c r="P18" s="3" t="inlineStr"/>
      <c r="Q18" s="3" t="inlineStr"/>
      <c r="R18" s="3" t="inlineStr"/>
      <c r="S18" s="3" t="inlineStr"/>
      <c r="T18" s="3" t="inlineStr"/>
      <c r="U18" s="3" t="inlineStr"/>
    </row>
    <row r="19" ht="46" customHeight="1">
      <c r="A19" s="2" t="inlineStr">
        <is>
          <t>C10-2627-SCI-REQ037-REASS-001</t>
        </is>
      </c>
      <c r="B19" s="2" t="inlineStr">
        <is>
          <t>Science</t>
        </is>
      </c>
      <c r="C19" s="2" t="inlineStr">
        <is>
          <t>Natural Phenomena</t>
        </is>
      </c>
      <c r="D19" s="2" t="inlineStr">
        <is>
          <t>Light – Reflection and Refraction</t>
        </is>
      </c>
      <c r="E19" s="2" t="inlineStr">
        <is>
          <t>REQ_SCI_2026_037, REQ_SCI_2026_038</t>
        </is>
      </c>
      <c r="F19" s="2" t="inlineStr">
        <is>
          <t>LO_9.1.1.1 — Construct ray diagrams for concave/convex mirrors and apply the mirror formula.</t>
        </is>
      </c>
      <c r="G19" s="2" t="inlineStr">
        <is>
          <t>Reflection of Light</t>
        </is>
      </c>
      <c r="H19" s="2" t="inlineStr">
        <is>
          <t>An object is placed 20 cm in front of a concave mirror of focal length 10 cm. Find the magnification of the image and state its nature.</t>
        </is>
      </c>
      <c r="I19" s="2" t="inlineStr">
        <is>
          <t>(constructed response)</t>
        </is>
      </c>
      <c r="J19" s="2" t="inlineStr">
        <is>
          <t>Magnification -1; the image is real, inverted and of the same size</t>
        </is>
      </c>
      <c r="K19" s="2" t="inlineStr">
        <is>
          <t>With u = -20 cm and f = -10 cm, 1/v = -1/10 + 1/20 = -1/20, so v = -20 cm and m = -v/u = -(-20)/(-20) = -1. The negative value indicates a real inverted image of the same size, formed at the centre of curvature.</t>
        </is>
      </c>
      <c r="L19" s="2" t="n">
        <v>3</v>
      </c>
      <c r="M19" s="2" t="inlineStr">
        <is>
          <t>Science_SecP1_2026-27.pdf Page 7</t>
        </is>
      </c>
      <c r="N19" s="2" t="inlineStr">
        <is>
          <t>draft / unverified / REVIEW_PENDING</t>
        </is>
      </c>
      <c r="O19" s="3" t="inlineStr"/>
      <c r="P19" s="3" t="inlineStr"/>
      <c r="Q19" s="3" t="inlineStr"/>
      <c r="R19" s="3" t="inlineStr"/>
      <c r="S19" s="3" t="inlineStr"/>
      <c r="T19" s="3" t="inlineStr"/>
      <c r="U19" s="3" t="inlineStr"/>
    </row>
    <row r="20" ht="46" customHeight="1">
      <c r="A20" s="2" t="inlineStr">
        <is>
          <t>C10-2627-SCI-REQ037-REASS-002</t>
        </is>
      </c>
      <c r="B20" s="2" t="inlineStr">
        <is>
          <t>Science</t>
        </is>
      </c>
      <c r="C20" s="2" t="inlineStr">
        <is>
          <t>Natural Phenomena</t>
        </is>
      </c>
      <c r="D20" s="2" t="inlineStr">
        <is>
          <t>Light – Reflection and Refraction</t>
        </is>
      </c>
      <c r="E20" s="2" t="inlineStr">
        <is>
          <t>REQ_SCI_2026_037, REQ_SCI_2026_038</t>
        </is>
      </c>
      <c r="F20" s="2" t="inlineStr">
        <is>
          <t>LO_9.1.1.1 — Construct ray diagrams for concave/convex mirrors and apply the mirror formula.</t>
        </is>
      </c>
      <c r="G20" s="2" t="inlineStr">
        <is>
          <t>Reflection of Light</t>
        </is>
      </c>
      <c r="H20" s="2" t="inlineStr">
        <is>
          <t>An object is placed 15 cm in front of a convex mirror of focal length 10 cm. Find the position of the image.</t>
        </is>
      </c>
      <c r="I20" s="2" t="inlineStr">
        <is>
          <t>(constructed response)</t>
        </is>
      </c>
      <c r="J20" s="2" t="inlineStr">
        <is>
          <t>6 cm behind the mirror, that is v = +6 cm</t>
        </is>
      </c>
      <c r="K20" s="2" t="inlineStr">
        <is>
          <t>With u = -15 cm and f = +10 cm, 1/v = 1/10 + 1/15 = 1/6, so v = +6 cm and the virtual image lies 6 cm behind the mirror.</t>
        </is>
      </c>
      <c r="L20" s="2" t="n">
        <v>3</v>
      </c>
      <c r="M20" s="2" t="inlineStr">
        <is>
          <t>Science_SecP1_2026-27.pdf Page 7</t>
        </is>
      </c>
      <c r="N20" s="2" t="inlineStr">
        <is>
          <t>draft / unverified / REVIEW_PENDING</t>
        </is>
      </c>
      <c r="O20" s="3" t="inlineStr"/>
      <c r="P20" s="3" t="inlineStr"/>
      <c r="Q20" s="3" t="inlineStr"/>
      <c r="R20" s="3" t="inlineStr"/>
      <c r="S20" s="3" t="inlineStr"/>
      <c r="T20" s="3" t="inlineStr"/>
      <c r="U20" s="3" t="inlineStr"/>
    </row>
    <row r="21" ht="46" customHeight="1">
      <c r="A21" s="2" t="inlineStr">
        <is>
          <t>C10-2627-SCI-REQ037-REASS-003</t>
        </is>
      </c>
      <c r="B21" s="2" t="inlineStr">
        <is>
          <t>Science</t>
        </is>
      </c>
      <c r="C21" s="2" t="inlineStr">
        <is>
          <t>Natural Phenomena</t>
        </is>
      </c>
      <c r="D21" s="2" t="inlineStr">
        <is>
          <t>Light – Reflection and Refraction</t>
        </is>
      </c>
      <c r="E21" s="2" t="inlineStr">
        <is>
          <t>REQ_SCI_2026_037, REQ_SCI_2026_038</t>
        </is>
      </c>
      <c r="F21" s="2" t="inlineStr">
        <is>
          <t>LO_9.1.1.1 — Construct ray diagrams for concave/convex mirrors and apply the mirror formula.</t>
        </is>
      </c>
      <c r="G21" s="2" t="inlineStr">
        <is>
          <t>Reflection of Light</t>
        </is>
      </c>
      <c r="H21" s="2" t="inlineStr">
        <is>
          <t>The focal length of a spherical mirror of radius of curvature 24 cm is</t>
        </is>
      </c>
      <c r="I21" s="2" t="inlineStr">
        <is>
          <t>A. 48 cm
B. 6 cm
C. 12 cm
D. 24 cm</t>
        </is>
      </c>
      <c r="J21" s="2" t="inlineStr">
        <is>
          <t>12 cm</t>
        </is>
      </c>
      <c r="K21" s="2" t="inlineStr">
        <is>
          <t>For a spherical mirror the focal length is half the radius of curvature, so f = 24/2 = 12 cm.</t>
        </is>
      </c>
      <c r="L21" s="2" t="n">
        <v>1</v>
      </c>
      <c r="M21" s="2" t="inlineStr">
        <is>
          <t>Science_SecP1_2026-27.pdf Page 7</t>
        </is>
      </c>
      <c r="N21" s="2" t="inlineStr">
        <is>
          <t>draft / unverified / REVIEW_PENDING</t>
        </is>
      </c>
      <c r="O21" s="3" t="inlineStr"/>
      <c r="P21" s="3" t="inlineStr"/>
      <c r="Q21" s="3" t="inlineStr"/>
      <c r="R21" s="3" t="inlineStr"/>
      <c r="S21" s="3" t="inlineStr"/>
      <c r="T21" s="3" t="inlineStr"/>
      <c r="U21" s="3" t="inlineStr"/>
    </row>
    <row r="22" ht="46" customHeight="1">
      <c r="A22" s="2" t="inlineStr">
        <is>
          <t>C10-2627-SCI-REQ037-REASS-004</t>
        </is>
      </c>
      <c r="B22" s="2" t="inlineStr">
        <is>
          <t>Science</t>
        </is>
      </c>
      <c r="C22" s="2" t="inlineStr">
        <is>
          <t>Natural Phenomena</t>
        </is>
      </c>
      <c r="D22" s="2" t="inlineStr">
        <is>
          <t>Light – Reflection and Refraction</t>
        </is>
      </c>
      <c r="E22" s="2" t="inlineStr">
        <is>
          <t>REQ_SCI_2026_037, REQ_SCI_2026_038</t>
        </is>
      </c>
      <c r="F22" s="2" t="inlineStr">
        <is>
          <t>LO_9.1.1.1 — Construct ray diagrams for concave/convex mirrors and apply the mirror formula.</t>
        </is>
      </c>
      <c r="G22" s="2" t="inlineStr">
        <is>
          <t>Reflection of Light</t>
        </is>
      </c>
      <c r="H22" s="2" t="inlineStr">
        <is>
          <t>Vehicle manufacturers fit a convex mirror rather than a plane mirror as the rear-view mirror on the driver's side.
Give two reasons, in terms of image formation, for this choice.</t>
        </is>
      </c>
      <c r="I22" s="2" t="inlineStr">
        <is>
          <t>(constructed response)</t>
        </is>
      </c>
      <c r="J22" s="2" t="inlineStr">
        <is>
          <t>It always gives an erect virtual image, and it has a much wider field of view.</t>
        </is>
      </c>
      <c r="K22" s="2" t="inlineStr">
        <is>
          <t>A convex mirror diverges reflected rays, so it always produces an erect, diminished virtual image and covers a far wider field of view than a plane mirror of the same size, letting the driver see more of the traffic behind.</t>
        </is>
      </c>
      <c r="L22" s="2" t="n">
        <v>3</v>
      </c>
      <c r="M22" s="2" t="inlineStr">
        <is>
          <t>Science_SecP1_2026-27.pdf Page 7</t>
        </is>
      </c>
      <c r="N22" s="2" t="inlineStr">
        <is>
          <t>draft / unverified / REVIEW_PENDING</t>
        </is>
      </c>
      <c r="O22" s="3" t="inlineStr"/>
      <c r="P22" s="3" t="inlineStr"/>
      <c r="Q22" s="3" t="inlineStr"/>
      <c r="R22" s="3" t="inlineStr"/>
      <c r="S22" s="3" t="inlineStr"/>
      <c r="T22" s="3" t="inlineStr"/>
      <c r="U22" s="3" t="inlineStr"/>
    </row>
    <row r="23" ht="46" customHeight="1">
      <c r="A23" s="2" t="inlineStr">
        <is>
          <t>C10-2627-SCI-REQ037-REASS-005</t>
        </is>
      </c>
      <c r="B23" s="2" t="inlineStr">
        <is>
          <t>Science</t>
        </is>
      </c>
      <c r="C23" s="2" t="inlineStr">
        <is>
          <t>Natural Phenomena</t>
        </is>
      </c>
      <c r="D23" s="2" t="inlineStr">
        <is>
          <t>Light – Reflection and Refraction</t>
        </is>
      </c>
      <c r="E23" s="2" t="inlineStr">
        <is>
          <t>REQ_SCI_2026_037, REQ_SCI_2026_038</t>
        </is>
      </c>
      <c r="F23" s="2" t="inlineStr">
        <is>
          <t>LO_9.1.1.1 — Construct ray diagrams for concave/convex mirrors and apply the mirror formula.</t>
        </is>
      </c>
      <c r="G23" s="2" t="inlineStr">
        <is>
          <t>Reflection of Light</t>
        </is>
      </c>
      <c r="H23" s="2" t="inlineStr">
        <is>
          <t>Assertion (A): A concave mirror can form a magnified erect image.
Reason (R): When the object lies between the pole and the principal focus of a concave mirror, the reflected rays diverge.
Choose the correct option.</t>
        </is>
      </c>
      <c r="I23" s="2" t="inlineStr">
        <is>
          <t>A. Both A and R are true and R is the correct explanation of A.
B. Both A and R are true but R is not the correct explanation of A.
C. A is true but R is false.
D. A is false but R is true.</t>
        </is>
      </c>
      <c r="J23" s="2" t="inlineStr">
        <is>
          <t>Both A and R are true and R is the correct explanation of A.</t>
        </is>
      </c>
      <c r="K23" s="2" t="inlineStr">
        <is>
          <t>For an object inside the focus, the reflected rays diverge and appear to come from behind the mirror, giving an erect and magnified virtual image, which is why shaving and dentist's mirrors are concave.</t>
        </is>
      </c>
      <c r="L23" s="2" t="n">
        <v>3</v>
      </c>
      <c r="M23" s="2" t="inlineStr">
        <is>
          <t>Science_SecP1_2026-27.pdf Page 7</t>
        </is>
      </c>
      <c r="N23" s="2" t="inlineStr">
        <is>
          <t>draft / unverified / REVIEW_PENDING</t>
        </is>
      </c>
      <c r="O23" s="3" t="inlineStr"/>
      <c r="P23" s="3" t="inlineStr"/>
      <c r="Q23" s="3" t="inlineStr"/>
      <c r="R23" s="3" t="inlineStr"/>
      <c r="S23" s="3" t="inlineStr"/>
      <c r="T23" s="3" t="inlineStr"/>
      <c r="U23" s="3" t="inlineStr"/>
    </row>
    <row r="24" ht="46" customHeight="1">
      <c r="A24" s="2" t="inlineStr">
        <is>
          <t>C10-2627-SCI-REQ037-DIAG-003</t>
        </is>
      </c>
      <c r="B24" s="2" t="inlineStr">
        <is>
          <t>Science</t>
        </is>
      </c>
      <c r="C24" s="2" t="inlineStr">
        <is>
          <t>Natural Phenomena</t>
        </is>
      </c>
      <c r="D24" s="2" t="inlineStr">
        <is>
          <t>Light – Reflection and Refraction</t>
        </is>
      </c>
      <c r="E24" s="2" t="inlineStr">
        <is>
          <t>REQ_SCI_2026_037, REQ_SCI_2026_038</t>
        </is>
      </c>
      <c r="F24" s="2" t="inlineStr">
        <is>
          <t>LO_9.2.1.1 — Apply Snell's law, solve thin-lens equations, and calculate optical power in dioptres.</t>
        </is>
      </c>
      <c r="G24" s="2" t="inlineStr">
        <is>
          <t>Refraction of Light</t>
        </is>
      </c>
      <c r="H24" s="2" t="inlineStr">
        <is>
          <t>An object is placed 30 cm from a convex lens of focal length 20 cm. Using the lens formula, find the position of the image.</t>
        </is>
      </c>
      <c r="I24" s="2" t="inlineStr">
        <is>
          <t>(constructed response)</t>
        </is>
      </c>
      <c r="J24" s="2" t="inlineStr">
        <is>
          <t>60 cm on the other side of the lens, that is v = +60 cm</t>
        </is>
      </c>
      <c r="K24" s="2" t="inlineStr">
        <is>
          <t>With u = -30 cm and f = +20 cm, 1/v = 1/f + 1/u = 1/20 - 1/30 = 1/60, so v = +60 cm and a real image forms 60 cm beyond the lens.</t>
        </is>
      </c>
      <c r="L24" s="2" t="n">
        <v>3</v>
      </c>
      <c r="M24" s="2" t="inlineStr">
        <is>
          <t>Science_SecP1_2026-27.pdf Page 7</t>
        </is>
      </c>
      <c r="N24" s="2" t="inlineStr">
        <is>
          <t>draft / unverified / REVIEW_PENDING</t>
        </is>
      </c>
      <c r="O24" s="3" t="inlineStr"/>
      <c r="P24" s="3" t="inlineStr"/>
      <c r="Q24" s="3" t="inlineStr"/>
      <c r="R24" s="3" t="inlineStr"/>
      <c r="S24" s="3" t="inlineStr"/>
      <c r="T24" s="3" t="inlineStr"/>
      <c r="U24" s="3" t="inlineStr"/>
    </row>
    <row r="25" ht="46" customHeight="1">
      <c r="A25" s="2" t="inlineStr">
        <is>
          <t>C10-2627-SCI-REQ037-DIAG-004</t>
        </is>
      </c>
      <c r="B25" s="2" t="inlineStr">
        <is>
          <t>Science</t>
        </is>
      </c>
      <c r="C25" s="2" t="inlineStr">
        <is>
          <t>Natural Phenomena</t>
        </is>
      </c>
      <c r="D25" s="2" t="inlineStr">
        <is>
          <t>Light – Reflection and Refraction</t>
        </is>
      </c>
      <c r="E25" s="2" t="inlineStr">
        <is>
          <t>REQ_SCI_2026_037, REQ_SCI_2026_038</t>
        </is>
      </c>
      <c r="F25" s="2" t="inlineStr">
        <is>
          <t>LO_9.2.1.1 — Apply Snell's law, solve thin-lens equations, and calculate optical power in dioptres.</t>
        </is>
      </c>
      <c r="G25" s="2" t="inlineStr">
        <is>
          <t>Refraction of Light</t>
        </is>
      </c>
      <c r="H25" s="2" t="inlineStr">
        <is>
          <t>Find the power of a convex lens of focal length 25 cm, stating the unit.</t>
        </is>
      </c>
      <c r="I25" s="2" t="inlineStr">
        <is>
          <t>(constructed response)</t>
        </is>
      </c>
      <c r="J25" s="2" t="inlineStr">
        <is>
          <t>+4 dioptre</t>
        </is>
      </c>
      <c r="K25" s="2" t="inlineStr">
        <is>
          <t>Power is the reciprocal of the focal length in metres, so P = 1/0.25 = +4 D, the positive sign indicating a converging lens.</t>
        </is>
      </c>
      <c r="L25" s="2" t="n">
        <v>2</v>
      </c>
      <c r="M25" s="2" t="inlineStr">
        <is>
          <t>Science_SecP1_2026-27.pdf Page 7</t>
        </is>
      </c>
      <c r="N25" s="2" t="inlineStr">
        <is>
          <t>draft / unverified / REVIEW_PENDING</t>
        </is>
      </c>
      <c r="O25" s="3" t="inlineStr"/>
      <c r="P25" s="3" t="inlineStr"/>
      <c r="Q25" s="3" t="inlineStr"/>
      <c r="R25" s="3" t="inlineStr"/>
      <c r="S25" s="3" t="inlineStr"/>
      <c r="T25" s="3" t="inlineStr"/>
      <c r="U25" s="3" t="inlineStr"/>
    </row>
    <row r="26" ht="46" customHeight="1">
      <c r="A26" s="2" t="inlineStr">
        <is>
          <t>C10-2627-SCI-REQ037-REASS-006</t>
        </is>
      </c>
      <c r="B26" s="2" t="inlineStr">
        <is>
          <t>Science</t>
        </is>
      </c>
      <c r="C26" s="2" t="inlineStr">
        <is>
          <t>Natural Phenomena</t>
        </is>
      </c>
      <c r="D26" s="2" t="inlineStr">
        <is>
          <t>Light – Reflection and Refraction</t>
        </is>
      </c>
      <c r="E26" s="2" t="inlineStr">
        <is>
          <t>REQ_SCI_2026_037, REQ_SCI_2026_038</t>
        </is>
      </c>
      <c r="F26" s="2" t="inlineStr">
        <is>
          <t>LO_9.2.1.1 — Apply Snell's law, solve thin-lens equations, and calculate optical power in dioptres.</t>
        </is>
      </c>
      <c r="G26" s="2" t="inlineStr">
        <is>
          <t>Refraction of Light</t>
        </is>
      </c>
      <c r="H26" s="2" t="inlineStr">
        <is>
          <t>An object is placed 20 cm from a concave lens of focal length 20 cm. Find the position of the image.</t>
        </is>
      </c>
      <c r="I26" s="2" t="inlineStr">
        <is>
          <t>(constructed response)</t>
        </is>
      </c>
      <c r="J26" s="2" t="inlineStr">
        <is>
          <t>10 cm from the lens on the same side as the object, that is v = -10 cm</t>
        </is>
      </c>
      <c r="K26" s="2" t="inlineStr">
        <is>
          <t>With u = -20 cm and f = -20 cm, 1/v = -1/20 - 1/20 = -1/10, so v = -10 cm and the virtual image lies 10 cm from the lens on the object side.</t>
        </is>
      </c>
      <c r="L26" s="2" t="n">
        <v>3</v>
      </c>
      <c r="M26" s="2" t="inlineStr">
        <is>
          <t>Science_SecP1_2026-27.pdf Page 7</t>
        </is>
      </c>
      <c r="N26" s="2" t="inlineStr">
        <is>
          <t>draft / unverified / REVIEW_PENDING</t>
        </is>
      </c>
      <c r="O26" s="3" t="inlineStr"/>
      <c r="P26" s="3" t="inlineStr"/>
      <c r="Q26" s="3" t="inlineStr"/>
      <c r="R26" s="3" t="inlineStr"/>
      <c r="S26" s="3" t="inlineStr"/>
      <c r="T26" s="3" t="inlineStr"/>
      <c r="U26" s="3" t="inlineStr"/>
    </row>
    <row r="27" ht="46" customHeight="1">
      <c r="A27" s="2" t="inlineStr">
        <is>
          <t>C10-2627-SCI-REQ037-REASS-007</t>
        </is>
      </c>
      <c r="B27" s="2" t="inlineStr">
        <is>
          <t>Science</t>
        </is>
      </c>
      <c r="C27" s="2" t="inlineStr">
        <is>
          <t>Natural Phenomena</t>
        </is>
      </c>
      <c r="D27" s="2" t="inlineStr">
        <is>
          <t>Light – Reflection and Refraction</t>
        </is>
      </c>
      <c r="E27" s="2" t="inlineStr">
        <is>
          <t>REQ_SCI_2026_037, REQ_SCI_2026_038</t>
        </is>
      </c>
      <c r="F27" s="2" t="inlineStr">
        <is>
          <t>LO_9.2.1.1 — Apply Snell's law, solve thin-lens equations, and calculate optical power in dioptres.</t>
        </is>
      </c>
      <c r="G27" s="2" t="inlineStr">
        <is>
          <t>Refraction of Light</t>
        </is>
      </c>
      <c r="H27" s="2" t="inlineStr">
        <is>
          <t>A concave lens has a focal length of 50 cm. Find its power.</t>
        </is>
      </c>
      <c r="I27" s="2" t="inlineStr">
        <is>
          <t>(constructed response)</t>
        </is>
      </c>
      <c r="J27" s="2" t="inlineStr">
        <is>
          <t>-2 dioptre</t>
        </is>
      </c>
      <c r="K27" s="2" t="inlineStr">
        <is>
          <t>P = 1/f in metres = 1/(-0.5) = -2 D, and the negative sign shows the lens is diverging.</t>
        </is>
      </c>
      <c r="L27" s="2" t="n">
        <v>2</v>
      </c>
      <c r="M27" s="2" t="inlineStr">
        <is>
          <t>Science_SecP1_2026-27.pdf Page 7</t>
        </is>
      </c>
      <c r="N27" s="2" t="inlineStr">
        <is>
          <t>draft / unverified / REVIEW_PENDING</t>
        </is>
      </c>
      <c r="O27" s="3" t="inlineStr"/>
      <c r="P27" s="3" t="inlineStr"/>
      <c r="Q27" s="3" t="inlineStr"/>
      <c r="R27" s="3" t="inlineStr"/>
      <c r="S27" s="3" t="inlineStr"/>
      <c r="T27" s="3" t="inlineStr"/>
      <c r="U27" s="3" t="inlineStr"/>
    </row>
    <row r="28" ht="46" customHeight="1">
      <c r="A28" s="2" t="inlineStr">
        <is>
          <t>C10-2627-SCI-REQ037-REASS-008</t>
        </is>
      </c>
      <c r="B28" s="2" t="inlineStr">
        <is>
          <t>Science</t>
        </is>
      </c>
      <c r="C28" s="2" t="inlineStr">
        <is>
          <t>Natural Phenomena</t>
        </is>
      </c>
      <c r="D28" s="2" t="inlineStr">
        <is>
          <t>Light – Reflection and Refraction</t>
        </is>
      </c>
      <c r="E28" s="2" t="inlineStr">
        <is>
          <t>REQ_SCI_2026_037, REQ_SCI_2026_038</t>
        </is>
      </c>
      <c r="F28" s="2" t="inlineStr">
        <is>
          <t>LO_9.2.1.1 — Apply Snell's law, solve thin-lens equations, and calculate optical power in dioptres.</t>
        </is>
      </c>
      <c r="G28" s="2" t="inlineStr">
        <is>
          <t>Refraction of Light</t>
        </is>
      </c>
      <c r="H28" s="2" t="inlineStr">
        <is>
          <t>A ray of light passes from air into water. The ray</t>
        </is>
      </c>
      <c r="I28" s="2" t="inlineStr">
        <is>
          <t>A. bends away from the normal
B. passes undeviated in every case
C. is totally reflected
D. bends towards the normal</t>
        </is>
      </c>
      <c r="J28" s="2" t="inlineStr">
        <is>
          <t>bends towards the normal</t>
        </is>
      </c>
      <c r="K28" s="2" t="inlineStr">
        <is>
          <t>Water is optically denser than air, so on entering it the ray slows and bends towards the normal, in agreement with Snell's law.</t>
        </is>
      </c>
      <c r="L28" s="2" t="n">
        <v>2</v>
      </c>
      <c r="M28" s="2" t="inlineStr">
        <is>
          <t>Science_SecP1_2026-27.pdf Page 7</t>
        </is>
      </c>
      <c r="N28" s="2" t="inlineStr">
        <is>
          <t>draft / unverified / REVIEW_PENDING</t>
        </is>
      </c>
      <c r="O28" s="3" t="inlineStr"/>
      <c r="P28" s="3" t="inlineStr"/>
      <c r="Q28" s="3" t="inlineStr"/>
      <c r="R28" s="3" t="inlineStr"/>
      <c r="S28" s="3" t="inlineStr"/>
      <c r="T28" s="3" t="inlineStr"/>
      <c r="U28" s="3" t="inlineStr"/>
    </row>
    <row r="29" ht="46" customHeight="1">
      <c r="A29" s="2" t="inlineStr">
        <is>
          <t>C10-2627-SCI-REQ037-REASS-009</t>
        </is>
      </c>
      <c r="B29" s="2" t="inlineStr">
        <is>
          <t>Science</t>
        </is>
      </c>
      <c r="C29" s="2" t="inlineStr">
        <is>
          <t>Natural Phenomena</t>
        </is>
      </c>
      <c r="D29" s="2" t="inlineStr">
        <is>
          <t>Light – Reflection and Refraction</t>
        </is>
      </c>
      <c r="E29" s="2" t="inlineStr">
        <is>
          <t>REQ_SCI_2026_037, REQ_SCI_2026_038</t>
        </is>
      </c>
      <c r="F29" s="2" t="inlineStr">
        <is>
          <t>LO_9.2.1.1 — Apply Snell's law, solve thin-lens equations, and calculate optical power in dioptres.</t>
        </is>
      </c>
      <c r="G29" s="2" t="inlineStr">
        <is>
          <t>Refraction of Light</t>
        </is>
      </c>
      <c r="H29" s="2" t="inlineStr">
        <is>
          <t>A coin lying at the bottom of a bucket of clear water appears to be raised when viewed from directly above.
Name the phenomenon responsible and explain the observation.</t>
        </is>
      </c>
      <c r="I29" s="2" t="inlineStr">
        <is>
          <t>(constructed response)</t>
        </is>
      </c>
      <c r="J29" s="2" t="inlineStr">
        <is>
          <t>Refraction of light; rays from the coin bend away from the normal on leaving water, so the coin appears nearer the surface.</t>
        </is>
      </c>
      <c r="K29" s="2" t="inlineStr">
        <is>
          <t>Light leaving the denser water for the rarer air bends away from the normal. The eye traces these rays back in straight lines, so the image of the coin is formed above the coin's real position and the bottom appears raised.</t>
        </is>
      </c>
      <c r="L29" s="2" t="n">
        <v>3</v>
      </c>
      <c r="M29" s="2" t="inlineStr">
        <is>
          <t>Science_SecP1_2026-27.pdf Page 7</t>
        </is>
      </c>
      <c r="N29" s="2" t="inlineStr">
        <is>
          <t>draft / unverified / REVIEW_PENDING</t>
        </is>
      </c>
      <c r="O29" s="3" t="inlineStr"/>
      <c r="P29" s="3" t="inlineStr"/>
      <c r="Q29" s="3" t="inlineStr"/>
      <c r="R29" s="3" t="inlineStr"/>
      <c r="S29" s="3" t="inlineStr"/>
      <c r="T29" s="3" t="inlineStr"/>
      <c r="U29" s="3" t="inlineStr"/>
    </row>
    <row r="30" ht="46" customHeight="1">
      <c r="A30" s="2" t="inlineStr">
        <is>
          <t>C10-2627-SCI-REQ037-REASS-010</t>
        </is>
      </c>
      <c r="B30" s="2" t="inlineStr">
        <is>
          <t>Science</t>
        </is>
      </c>
      <c r="C30" s="2" t="inlineStr">
        <is>
          <t>Natural Phenomena</t>
        </is>
      </c>
      <c r="D30" s="2" t="inlineStr">
        <is>
          <t>Light – Reflection and Refraction</t>
        </is>
      </c>
      <c r="E30" s="2" t="inlineStr">
        <is>
          <t>REQ_SCI_2026_037, REQ_SCI_2026_038</t>
        </is>
      </c>
      <c r="F30" s="2" t="inlineStr">
        <is>
          <t>LO_9.2.1.1 — Apply Snell's law, solve thin-lens equations, and calculate optical power in dioptres.</t>
        </is>
      </c>
      <c r="G30" s="2" t="inlineStr">
        <is>
          <t>Refraction of Light</t>
        </is>
      </c>
      <c r="H30" s="2" t="inlineStr">
        <is>
          <t>Assertion (A): A lens of short focal length has a large power.
Reason (R): The power of a lens is the reciprocal of its focal length expressed in metres.
Choose the correct option.</t>
        </is>
      </c>
      <c r="I30" s="2" t="inlineStr">
        <is>
          <t>A. Both A and R are true and R is the correct explanation of A.
B. Both A and R are true but R is not the correct explanation of A.
C. A is true but R is false.
D. A is false but R is true.</t>
        </is>
      </c>
      <c r="J30" s="2" t="inlineStr">
        <is>
          <t>Both A and R are true and R is the correct explanation of A.</t>
        </is>
      </c>
      <c r="K30" s="2" t="inlineStr">
        <is>
          <t>Because power varies inversely with focal length, a shorter focal length gives a larger numerical power.</t>
        </is>
      </c>
      <c r="L30" s="2" t="n">
        <v>2</v>
      </c>
      <c r="M30" s="2" t="inlineStr">
        <is>
          <t>Science_SecP1_2026-27.pdf Page 7</t>
        </is>
      </c>
      <c r="N30" s="2" t="inlineStr">
        <is>
          <t>draft / unverified / REVIEW_PENDING</t>
        </is>
      </c>
      <c r="O30" s="3" t="inlineStr"/>
      <c r="P30" s="3" t="inlineStr"/>
      <c r="Q30" s="3" t="inlineStr"/>
      <c r="R30" s="3" t="inlineStr"/>
      <c r="S30" s="3" t="inlineStr"/>
      <c r="T30" s="3" t="inlineStr"/>
      <c r="U30" s="3" t="inlineStr"/>
    </row>
    <row r="31" ht="46" customHeight="1">
      <c r="A31" s="2" t="inlineStr">
        <is>
          <t>C10-2627-SCI-REQ041-DIAG-001</t>
        </is>
      </c>
      <c r="B31" s="2" t="inlineStr">
        <is>
          <t>Science</t>
        </is>
      </c>
      <c r="C31" s="2" t="inlineStr">
        <is>
          <t>Effects of Current</t>
        </is>
      </c>
      <c r="D31" s="2" t="inlineStr">
        <is>
          <t>Electricity</t>
        </is>
      </c>
      <c r="E31" s="2" t="inlineStr">
        <is>
          <t>REQ_SCI_2026_041</t>
        </is>
      </c>
      <c r="F31" s="2" t="inlineStr">
        <is>
          <t>LO_11.1.1.1 — State Ohm's Law, calculate equivalent resistances, and analyze factors affecting electrical resistivity.</t>
        </is>
      </c>
      <c r="G31" s="2" t="inlineStr">
        <is>
          <t>Electric Potential and Ohm's Law</t>
        </is>
      </c>
      <c r="H31" s="2" t="inlineStr">
        <is>
          <t>A potential difference of 12 V is applied across a resistor of 4 ohm. Find the current in the resistor.</t>
        </is>
      </c>
      <c r="I31" s="2" t="inlineStr">
        <is>
          <t>(constructed response)</t>
        </is>
      </c>
      <c r="J31" s="2" t="inlineStr">
        <is>
          <t>3 A</t>
        </is>
      </c>
      <c r="K31" s="2" t="inlineStr">
        <is>
          <t>By Ohm's law I = V/R = 12/4 = 3 A.</t>
        </is>
      </c>
      <c r="L31" s="2" t="n">
        <v>2</v>
      </c>
      <c r="M31" s="2" t="inlineStr">
        <is>
          <t>Science_SecP1_2026-27.pdf Page 7</t>
        </is>
      </c>
      <c r="N31" s="2" t="inlineStr">
        <is>
          <t>draft / unverified / REVIEW_PENDING</t>
        </is>
      </c>
      <c r="O31" s="3" t="inlineStr"/>
      <c r="P31" s="3" t="inlineStr"/>
      <c r="Q31" s="3" t="inlineStr"/>
      <c r="R31" s="3" t="inlineStr"/>
      <c r="S31" s="3" t="inlineStr"/>
      <c r="T31" s="3" t="inlineStr"/>
      <c r="U31" s="3" t="inlineStr"/>
    </row>
    <row r="32" ht="46" customHeight="1">
      <c r="A32" s="2" t="inlineStr">
        <is>
          <t>C10-2627-SCI-REQ041-DIAG-002</t>
        </is>
      </c>
      <c r="B32" s="2" t="inlineStr">
        <is>
          <t>Science</t>
        </is>
      </c>
      <c r="C32" s="2" t="inlineStr">
        <is>
          <t>Effects of Current</t>
        </is>
      </c>
      <c r="D32" s="2" t="inlineStr">
        <is>
          <t>Electricity</t>
        </is>
      </c>
      <c r="E32" s="2" t="inlineStr">
        <is>
          <t>REQ_SCI_2026_041</t>
        </is>
      </c>
      <c r="F32" s="2" t="inlineStr">
        <is>
          <t>LO_11.1.1.1 — State Ohm's Law, calculate equivalent resistances, and analyze factors affecting electrical resistivity.</t>
        </is>
      </c>
      <c r="G32" s="2" t="inlineStr">
        <is>
          <t>Electric Potential and Ohm's Law</t>
        </is>
      </c>
      <c r="H32" s="2" t="inlineStr">
        <is>
          <t>Three resistors of 2 ohm, 3 ohm and 5 ohm are connected in series. Find the equivalent resistance.</t>
        </is>
      </c>
      <c r="I32" s="2" t="inlineStr">
        <is>
          <t>(constructed response)</t>
        </is>
      </c>
      <c r="J32" s="2" t="inlineStr">
        <is>
          <t>10 ohm</t>
        </is>
      </c>
      <c r="K32" s="2" t="inlineStr">
        <is>
          <t>In series the equivalent resistance is the sum, 2 + 3 + 5 = 10 ohm.</t>
        </is>
      </c>
      <c r="L32" s="2" t="n">
        <v>2</v>
      </c>
      <c r="M32" s="2" t="inlineStr">
        <is>
          <t>Science_SecP1_2026-27.pdf Page 7</t>
        </is>
      </c>
      <c r="N32" s="2" t="inlineStr">
        <is>
          <t>draft / unverified / REVIEW_PENDING</t>
        </is>
      </c>
      <c r="O32" s="3" t="inlineStr"/>
      <c r="P32" s="3" t="inlineStr"/>
      <c r="Q32" s="3" t="inlineStr"/>
      <c r="R32" s="3" t="inlineStr"/>
      <c r="S32" s="3" t="inlineStr"/>
      <c r="T32" s="3" t="inlineStr"/>
      <c r="U32" s="3" t="inlineStr"/>
    </row>
    <row r="33" ht="46" customHeight="1">
      <c r="A33" s="2" t="inlineStr">
        <is>
          <t>C10-2627-SCI-REQ041-REASS-001</t>
        </is>
      </c>
      <c r="B33" s="2" t="inlineStr">
        <is>
          <t>Science</t>
        </is>
      </c>
      <c r="C33" s="2" t="inlineStr">
        <is>
          <t>Effects of Current</t>
        </is>
      </c>
      <c r="D33" s="2" t="inlineStr">
        <is>
          <t>Electricity</t>
        </is>
      </c>
      <c r="E33" s="2" t="inlineStr">
        <is>
          <t>REQ_SCI_2026_041</t>
        </is>
      </c>
      <c r="F33" s="2" t="inlineStr">
        <is>
          <t>LO_11.1.1.1 — State Ohm's Law, calculate equivalent resistances, and analyze factors affecting electrical resistivity.</t>
        </is>
      </c>
      <c r="G33" s="2" t="inlineStr">
        <is>
          <t>Electric Potential and Ohm's Law</t>
        </is>
      </c>
      <c r="H33" s="2" t="inlineStr">
        <is>
          <t>Two resistors of 6 ohm and 3 ohm are connected in parallel. Find the equivalent resistance.</t>
        </is>
      </c>
      <c r="I33" s="2" t="inlineStr">
        <is>
          <t>(constructed response)</t>
        </is>
      </c>
      <c r="J33" s="2" t="inlineStr">
        <is>
          <t>2 ohm</t>
        </is>
      </c>
      <c r="K33" s="2" t="inlineStr">
        <is>
          <t>For a parallel combination 1/R = 1/6 + 1/3 = 1/2, so R = 2 ohm.</t>
        </is>
      </c>
      <c r="L33" s="2" t="n">
        <v>3</v>
      </c>
      <c r="M33" s="2" t="inlineStr">
        <is>
          <t>Science_SecP1_2026-27.pdf Page 7</t>
        </is>
      </c>
      <c r="N33" s="2" t="inlineStr">
        <is>
          <t>draft / unverified / REVIEW_PENDING</t>
        </is>
      </c>
      <c r="O33" s="3" t="inlineStr"/>
      <c r="P33" s="3" t="inlineStr"/>
      <c r="Q33" s="3" t="inlineStr"/>
      <c r="R33" s="3" t="inlineStr"/>
      <c r="S33" s="3" t="inlineStr"/>
      <c r="T33" s="3" t="inlineStr"/>
      <c r="U33" s="3" t="inlineStr"/>
    </row>
    <row r="34" ht="46" customHeight="1">
      <c r="A34" s="2" t="inlineStr">
        <is>
          <t>C10-2627-SCI-REQ041-REASS-002</t>
        </is>
      </c>
      <c r="B34" s="2" t="inlineStr">
        <is>
          <t>Science</t>
        </is>
      </c>
      <c r="C34" s="2" t="inlineStr">
        <is>
          <t>Effects of Current</t>
        </is>
      </c>
      <c r="D34" s="2" t="inlineStr">
        <is>
          <t>Electricity</t>
        </is>
      </c>
      <c r="E34" s="2" t="inlineStr">
        <is>
          <t>REQ_SCI_2026_041</t>
        </is>
      </c>
      <c r="F34" s="2" t="inlineStr">
        <is>
          <t>LO_11.1.1.1 — State Ohm's Law, calculate equivalent resistances, and analyze factors affecting electrical resistivity.</t>
        </is>
      </c>
      <c r="G34" s="2" t="inlineStr">
        <is>
          <t>Electric Potential and Ohm's Law</t>
        </is>
      </c>
      <c r="H34" s="2" t="inlineStr">
        <is>
          <t>A current of 0.5 A flows through a resistor of 24 ohm. Find the potential difference across it.</t>
        </is>
      </c>
      <c r="I34" s="2" t="inlineStr">
        <is>
          <t>(constructed response)</t>
        </is>
      </c>
      <c r="J34" s="2" t="inlineStr">
        <is>
          <t>12 V</t>
        </is>
      </c>
      <c r="K34" s="2" t="inlineStr">
        <is>
          <t>By Ohm's law V = IR = 0.5 x 24 = 12 V.</t>
        </is>
      </c>
      <c r="L34" s="2" t="n">
        <v>2</v>
      </c>
      <c r="M34" s="2" t="inlineStr">
        <is>
          <t>Science_SecP1_2026-27.pdf Page 7</t>
        </is>
      </c>
      <c r="N34" s="2" t="inlineStr">
        <is>
          <t>draft / unverified / REVIEW_PENDING</t>
        </is>
      </c>
      <c r="O34" s="3" t="inlineStr"/>
      <c r="P34" s="3" t="inlineStr"/>
      <c r="Q34" s="3" t="inlineStr"/>
      <c r="R34" s="3" t="inlineStr"/>
      <c r="S34" s="3" t="inlineStr"/>
      <c r="T34" s="3" t="inlineStr"/>
      <c r="U34" s="3" t="inlineStr"/>
    </row>
    <row r="35" ht="46" customHeight="1">
      <c r="A35" s="2" t="inlineStr">
        <is>
          <t>C10-2627-SCI-REQ041-REASS-003</t>
        </is>
      </c>
      <c r="B35" s="2" t="inlineStr">
        <is>
          <t>Science</t>
        </is>
      </c>
      <c r="C35" s="2" t="inlineStr">
        <is>
          <t>Effects of Current</t>
        </is>
      </c>
      <c r="D35" s="2" t="inlineStr">
        <is>
          <t>Electricity</t>
        </is>
      </c>
      <c r="E35" s="2" t="inlineStr">
        <is>
          <t>REQ_SCI_2026_041</t>
        </is>
      </c>
      <c r="F35" s="2" t="inlineStr">
        <is>
          <t>LO_11.1.1.1 — State Ohm's Law, calculate equivalent resistances, and analyze factors affecting electrical resistivity.</t>
        </is>
      </c>
      <c r="G35" s="2" t="inlineStr">
        <is>
          <t>Electric Potential and Ohm's Law</t>
        </is>
      </c>
      <c r="H35" s="2" t="inlineStr">
        <is>
          <t>A wire of length 2 m and uniform cross-sectional area 0.5 square millimetre has resistivity 1.6 x 10^-8 ohm metre. Find its resistance.</t>
        </is>
      </c>
      <c r="I35" s="2" t="inlineStr">
        <is>
          <t>(constructed response)</t>
        </is>
      </c>
      <c r="J35" s="2" t="inlineStr">
        <is>
          <t>0.064 ohm</t>
        </is>
      </c>
      <c r="K35" s="2" t="inlineStr">
        <is>
          <t>R = rho L / A with A = 0.5 x 10^-6 square metre, so R = (1.6 x 10^-8 x 2) / (5 x 10^-7) = 0.064 ohm.</t>
        </is>
      </c>
      <c r="L35" s="2" t="n">
        <v>4</v>
      </c>
      <c r="M35" s="2" t="inlineStr">
        <is>
          <t>Science_SecP1_2026-27.pdf Page 7</t>
        </is>
      </c>
      <c r="N35" s="2" t="inlineStr">
        <is>
          <t>draft / unverified / REVIEW_PENDING</t>
        </is>
      </c>
      <c r="O35" s="3" t="inlineStr"/>
      <c r="P35" s="3" t="inlineStr"/>
      <c r="Q35" s="3" t="inlineStr"/>
      <c r="R35" s="3" t="inlineStr"/>
      <c r="S35" s="3" t="inlineStr"/>
      <c r="T35" s="3" t="inlineStr"/>
      <c r="U35" s="3" t="inlineStr"/>
    </row>
    <row r="36" ht="46" customHeight="1">
      <c r="A36" s="2" t="inlineStr">
        <is>
          <t>C10-2627-SCI-REQ041-REASS-004</t>
        </is>
      </c>
      <c r="B36" s="2" t="inlineStr">
        <is>
          <t>Science</t>
        </is>
      </c>
      <c r="C36" s="2" t="inlineStr">
        <is>
          <t>Effects of Current</t>
        </is>
      </c>
      <c r="D36" s="2" t="inlineStr">
        <is>
          <t>Electricity</t>
        </is>
      </c>
      <c r="E36" s="2" t="inlineStr">
        <is>
          <t>REQ_SCI_2026_041</t>
        </is>
      </c>
      <c r="F36" s="2" t="inlineStr">
        <is>
          <t>LO_11.1.1.1 — State Ohm's Law, calculate equivalent resistances, and analyze factors affecting electrical resistivity.</t>
        </is>
      </c>
      <c r="G36" s="2" t="inlineStr">
        <is>
          <t>Electric Potential and Ohm's Law</t>
        </is>
      </c>
      <c r="H36" s="2" t="inlineStr">
        <is>
          <t>When several resistors are connected in parallel, the equivalent resistance is</t>
        </is>
      </c>
      <c r="I36" s="2" t="inlineStr">
        <is>
          <t>A. equal to the sum of the resistances
B. equal to the average of the resistances
C. less than the smallest individual resistance
D. greater than the largest individual resistance</t>
        </is>
      </c>
      <c r="J36" s="2" t="inlineStr">
        <is>
          <t>less than the smallest individual resistance</t>
        </is>
      </c>
      <c r="K36" s="2" t="inlineStr">
        <is>
          <t>Adding a parallel path provides an extra route for current, so the combined resistance falls below that of any single branch.</t>
        </is>
      </c>
      <c r="L36" s="2" t="n">
        <v>2</v>
      </c>
      <c r="M36" s="2" t="inlineStr">
        <is>
          <t>Science_SecP1_2026-27.pdf Page 7</t>
        </is>
      </c>
      <c r="N36" s="2" t="inlineStr">
        <is>
          <t>draft / unverified / REVIEW_PENDING</t>
        </is>
      </c>
      <c r="O36" s="3" t="inlineStr"/>
      <c r="P36" s="3" t="inlineStr"/>
      <c r="Q36" s="3" t="inlineStr"/>
      <c r="R36" s="3" t="inlineStr"/>
      <c r="S36" s="3" t="inlineStr"/>
      <c r="T36" s="3" t="inlineStr"/>
      <c r="U36" s="3" t="inlineStr"/>
    </row>
    <row r="37" ht="46" customHeight="1">
      <c r="A37" s="2" t="inlineStr">
        <is>
          <t>C10-2627-SCI-REQ041-REASS-005</t>
        </is>
      </c>
      <c r="B37" s="2" t="inlineStr">
        <is>
          <t>Science</t>
        </is>
      </c>
      <c r="C37" s="2" t="inlineStr">
        <is>
          <t>Effects of Current</t>
        </is>
      </c>
      <c r="D37" s="2" t="inlineStr">
        <is>
          <t>Electricity</t>
        </is>
      </c>
      <c r="E37" s="2" t="inlineStr">
        <is>
          <t>REQ_SCI_2026_041</t>
        </is>
      </c>
      <c r="F37" s="2" t="inlineStr">
        <is>
          <t>LO_11.1.1.1 — State Ohm's Law, calculate equivalent resistances, and analyze factors affecting electrical resistivity.</t>
        </is>
      </c>
      <c r="G37" s="2" t="inlineStr">
        <is>
          <t>Electric Potential and Ohm's Law</t>
        </is>
      </c>
      <c r="H37" s="2" t="inlineStr">
        <is>
          <t>Assertion (A): A thicker wire of the same material and length has a lower resistance than a thinner one.
Reason (R): The resistance of a conductor is inversely proportional to its area of cross-section.
Choose the correct option.</t>
        </is>
      </c>
      <c r="I37" s="2" t="inlineStr">
        <is>
          <t>A. Both A and R are true and R is the correct explanation of A.
B. Both A and R are true but R is not the correct explanation of A.
C. A is true but R is false.
D. A is false but R is true.</t>
        </is>
      </c>
      <c r="J37" s="2" t="inlineStr">
        <is>
          <t>Both A and R are true and R is the correct explanation of A.</t>
        </is>
      </c>
      <c r="K37" s="2" t="inlineStr">
        <is>
          <t>Since R = rho L / A, increasing the cross-sectional area decreases the resistance for a fixed material and length.</t>
        </is>
      </c>
      <c r="L37" s="2" t="n">
        <v>3</v>
      </c>
      <c r="M37" s="2" t="inlineStr">
        <is>
          <t>Science_SecP1_2026-27.pdf Page 7</t>
        </is>
      </c>
      <c r="N37" s="2" t="inlineStr">
        <is>
          <t>draft / unverified / REVIEW_PENDING</t>
        </is>
      </c>
      <c r="O37" s="3" t="inlineStr"/>
      <c r="P37" s="3" t="inlineStr"/>
      <c r="Q37" s="3" t="inlineStr"/>
      <c r="R37" s="3" t="inlineStr"/>
      <c r="S37" s="3" t="inlineStr"/>
      <c r="T37" s="3" t="inlineStr"/>
      <c r="U37" s="3" t="inlineStr"/>
    </row>
    <row r="38" ht="46" customHeight="1">
      <c r="A38" s="2" t="inlineStr">
        <is>
          <t>C10-2627-SCI-REQ042-DIAG-001</t>
        </is>
      </c>
      <c r="B38" s="2" t="inlineStr">
        <is>
          <t>Science</t>
        </is>
      </c>
      <c r="C38" s="2" t="inlineStr">
        <is>
          <t>Effects of Current</t>
        </is>
      </c>
      <c r="D38" s="2" t="inlineStr">
        <is>
          <t>Electricity</t>
        </is>
      </c>
      <c r="E38" s="2" t="inlineStr">
        <is>
          <t>REQ_SCI_2026_042</t>
        </is>
      </c>
      <c r="F38" s="2" t="inlineStr">
        <is>
          <t>LO_11.2.1.1 — Apply Joule's Law of Heating and compute commercial electrical energy consumption in kWh.</t>
        </is>
      </c>
      <c r="G38" s="2" t="inlineStr">
        <is>
          <t>Heating Effect of Electric Current</t>
        </is>
      </c>
      <c r="H38" s="2" t="inlineStr">
        <is>
          <t>A current of 2 A flows through a resistor of 5 ohm for 10 s. Using Joule's law, find the heat produced.</t>
        </is>
      </c>
      <c r="I38" s="2" t="inlineStr">
        <is>
          <t>(constructed response)</t>
        </is>
      </c>
      <c r="J38" s="2" t="inlineStr">
        <is>
          <t>200 J</t>
        </is>
      </c>
      <c r="K38" s="2" t="inlineStr">
        <is>
          <t>H = I^2 R t = 4 x 5 x 10 = 200 joule.</t>
        </is>
      </c>
      <c r="L38" s="2" t="n">
        <v>3</v>
      </c>
      <c r="M38" s="2" t="inlineStr">
        <is>
          <t>Science_SecP1_2026-27.pdf Page 7</t>
        </is>
      </c>
      <c r="N38" s="2" t="inlineStr">
        <is>
          <t>draft / unverified / REVIEW_PENDING</t>
        </is>
      </c>
      <c r="O38" s="3" t="inlineStr"/>
      <c r="P38" s="3" t="inlineStr"/>
      <c r="Q38" s="3" t="inlineStr"/>
      <c r="R38" s="3" t="inlineStr"/>
      <c r="S38" s="3" t="inlineStr"/>
      <c r="T38" s="3" t="inlineStr"/>
      <c r="U38" s="3" t="inlineStr"/>
    </row>
    <row r="39" ht="46" customHeight="1">
      <c r="A39" s="2" t="inlineStr">
        <is>
          <t>C10-2627-SCI-REQ042-DIAG-002</t>
        </is>
      </c>
      <c r="B39" s="2" t="inlineStr">
        <is>
          <t>Science</t>
        </is>
      </c>
      <c r="C39" s="2" t="inlineStr">
        <is>
          <t>Effects of Current</t>
        </is>
      </c>
      <c r="D39" s="2" t="inlineStr">
        <is>
          <t>Electricity</t>
        </is>
      </c>
      <c r="E39" s="2" t="inlineStr">
        <is>
          <t>REQ_SCI_2026_042</t>
        </is>
      </c>
      <c r="F39" s="2" t="inlineStr">
        <is>
          <t>LO_11.2.1.1 — Apply Joule's Law of Heating and compute commercial electrical energy consumption in kWh.</t>
        </is>
      </c>
      <c r="G39" s="2" t="inlineStr">
        <is>
          <t>Heating Effect of Electric Current</t>
        </is>
      </c>
      <c r="H39" s="2" t="inlineStr">
        <is>
          <t>One kilowatt hour is equal to</t>
        </is>
      </c>
      <c r="I39" s="2" t="inlineStr">
        <is>
          <t>A. 3.6 x 10^3 joule
B. 3.6 x 10^6 joule
C. 1000 joule
D. 3600 joule</t>
        </is>
      </c>
      <c r="J39" s="2" t="inlineStr">
        <is>
          <t>3.6 x 10^6 joule</t>
        </is>
      </c>
      <c r="K39" s="2" t="inlineStr">
        <is>
          <t>One kilowatt hour is 1000 watt x 3600 second = 3.6 x 10^6 joule.</t>
        </is>
      </c>
      <c r="L39" s="2" t="n">
        <v>1</v>
      </c>
      <c r="M39" s="2" t="inlineStr">
        <is>
          <t>Science_SecP1_2026-27.pdf Page 7</t>
        </is>
      </c>
      <c r="N39" s="2" t="inlineStr">
        <is>
          <t>draft / unverified / REVIEW_PENDING</t>
        </is>
      </c>
      <c r="O39" s="3" t="inlineStr"/>
      <c r="P39" s="3" t="inlineStr"/>
      <c r="Q39" s="3" t="inlineStr"/>
      <c r="R39" s="3" t="inlineStr"/>
      <c r="S39" s="3" t="inlineStr"/>
      <c r="T39" s="3" t="inlineStr"/>
      <c r="U39" s="3" t="inlineStr"/>
    </row>
    <row r="40" ht="46" customHeight="1">
      <c r="A40" s="2" t="inlineStr">
        <is>
          <t>C10-2627-SCI-REQ042-REASS-001</t>
        </is>
      </c>
      <c r="B40" s="2" t="inlineStr">
        <is>
          <t>Science</t>
        </is>
      </c>
      <c r="C40" s="2" t="inlineStr">
        <is>
          <t>Effects of Current</t>
        </is>
      </c>
      <c r="D40" s="2" t="inlineStr">
        <is>
          <t>Electricity</t>
        </is>
      </c>
      <c r="E40" s="2" t="inlineStr">
        <is>
          <t>REQ_SCI_2026_042</t>
        </is>
      </c>
      <c r="F40" s="2" t="inlineStr">
        <is>
          <t>LO_11.2.1.1 — Apply Joule's Law of Heating and compute commercial electrical energy consumption in kWh.</t>
        </is>
      </c>
      <c r="G40" s="2" t="inlineStr">
        <is>
          <t>Heating Effect of Electric Current</t>
        </is>
      </c>
      <c r="H40" s="2" t="inlineStr">
        <is>
          <t>Four bulbs of 100 W each are used for 5 hours a day. Find the electrical energy consumed in 30 days, in kilowatt hours.</t>
        </is>
      </c>
      <c r="I40" s="2" t="inlineStr">
        <is>
          <t>(constructed response)</t>
        </is>
      </c>
      <c r="J40" s="2" t="inlineStr">
        <is>
          <t>60 kWh</t>
        </is>
      </c>
      <c r="K40" s="2" t="inlineStr">
        <is>
          <t>Energy = 4 x 100 x 5 x 30 watt hour = 60000 Wh = 60 kWh.</t>
        </is>
      </c>
      <c r="L40" s="2" t="n">
        <v>3</v>
      </c>
      <c r="M40" s="2" t="inlineStr">
        <is>
          <t>Science_SecP1_2026-27.pdf Page 7</t>
        </is>
      </c>
      <c r="N40" s="2" t="inlineStr">
        <is>
          <t>draft / unverified / REVIEW_PENDING</t>
        </is>
      </c>
      <c r="O40" s="3" t="inlineStr"/>
      <c r="P40" s="3" t="inlineStr"/>
      <c r="Q40" s="3" t="inlineStr"/>
      <c r="R40" s="3" t="inlineStr"/>
      <c r="S40" s="3" t="inlineStr"/>
      <c r="T40" s="3" t="inlineStr"/>
      <c r="U40" s="3" t="inlineStr"/>
    </row>
    <row r="41" ht="46" customHeight="1">
      <c r="A41" s="2" t="inlineStr">
        <is>
          <t>C10-2627-SCI-REQ042-REASS-002</t>
        </is>
      </c>
      <c r="B41" s="2" t="inlineStr">
        <is>
          <t>Science</t>
        </is>
      </c>
      <c r="C41" s="2" t="inlineStr">
        <is>
          <t>Effects of Current</t>
        </is>
      </c>
      <c r="D41" s="2" t="inlineStr">
        <is>
          <t>Electricity</t>
        </is>
      </c>
      <c r="E41" s="2" t="inlineStr">
        <is>
          <t>REQ_SCI_2026_042</t>
        </is>
      </c>
      <c r="F41" s="2" t="inlineStr">
        <is>
          <t>LO_11.2.1.1 — Apply Joule's Law of Heating and compute commercial electrical energy consumption in kWh.</t>
        </is>
      </c>
      <c r="G41" s="2" t="inlineStr">
        <is>
          <t>Heating Effect of Electric Current</t>
        </is>
      </c>
      <c r="H41" s="2" t="inlineStr">
        <is>
          <t>An electric heater of 1500 W runs for 2 hours a day for 20 days. If the tariff is 6 rupees per unit, find the total cost.</t>
        </is>
      </c>
      <c r="I41" s="2" t="inlineStr">
        <is>
          <t>(constructed response)</t>
        </is>
      </c>
      <c r="J41" s="2" t="inlineStr">
        <is>
          <t>360 rupees</t>
        </is>
      </c>
      <c r="K41" s="2" t="inlineStr">
        <is>
          <t>Energy = 1.5 x 2 x 20 = 60 kWh, so the cost is 60 x 6 = 360 rupees.</t>
        </is>
      </c>
      <c r="L41" s="2" t="n">
        <v>3</v>
      </c>
      <c r="M41" s="2" t="inlineStr">
        <is>
          <t>Science_SecP1_2026-27.pdf Page 7</t>
        </is>
      </c>
      <c r="N41" s="2" t="inlineStr">
        <is>
          <t>draft / unverified / REVIEW_PENDING</t>
        </is>
      </c>
      <c r="O41" s="3" t="inlineStr"/>
      <c r="P41" s="3" t="inlineStr"/>
      <c r="Q41" s="3" t="inlineStr"/>
      <c r="R41" s="3" t="inlineStr"/>
      <c r="S41" s="3" t="inlineStr"/>
      <c r="T41" s="3" t="inlineStr"/>
      <c r="U41" s="3" t="inlineStr"/>
    </row>
    <row r="42" ht="46" customHeight="1">
      <c r="A42" s="2" t="inlineStr">
        <is>
          <t>C10-2627-SCI-REQ042-REASS-003</t>
        </is>
      </c>
      <c r="B42" s="2" t="inlineStr">
        <is>
          <t>Science</t>
        </is>
      </c>
      <c r="C42" s="2" t="inlineStr">
        <is>
          <t>Effects of Current</t>
        </is>
      </c>
      <c r="D42" s="2" t="inlineStr">
        <is>
          <t>Electricity</t>
        </is>
      </c>
      <c r="E42" s="2" t="inlineStr">
        <is>
          <t>REQ_SCI_2026_042</t>
        </is>
      </c>
      <c r="F42" s="2" t="inlineStr">
        <is>
          <t>LO_11.2.1.1 — Apply Joule's Law of Heating and compute commercial electrical energy consumption in kWh.</t>
        </is>
      </c>
      <c r="G42" s="2" t="inlineStr">
        <is>
          <t>Heating Effect of Electric Current</t>
        </is>
      </c>
      <c r="H42" s="2" t="inlineStr">
        <is>
          <t>An appliance draws a current of 5 A from a 220 V supply. Find its power.</t>
        </is>
      </c>
      <c r="I42" s="2" t="inlineStr">
        <is>
          <t>(constructed response)</t>
        </is>
      </c>
      <c r="J42" s="2" t="inlineStr">
        <is>
          <t>1100 W</t>
        </is>
      </c>
      <c r="K42" s="2" t="inlineStr">
        <is>
          <t>Electric power is the product of the potential difference and the current, so P = VI = 220 x 5 = 1100 watt, that is 1.1 kilowatt.</t>
        </is>
      </c>
      <c r="L42" s="2" t="n">
        <v>2</v>
      </c>
      <c r="M42" s="2" t="inlineStr">
        <is>
          <t>Science_SecP1_2026-27.pdf Page 7</t>
        </is>
      </c>
      <c r="N42" s="2" t="inlineStr">
        <is>
          <t>draft / unverified / REVIEW_PENDING</t>
        </is>
      </c>
      <c r="O42" s="3" t="inlineStr"/>
      <c r="P42" s="3" t="inlineStr"/>
      <c r="Q42" s="3" t="inlineStr"/>
      <c r="R42" s="3" t="inlineStr"/>
      <c r="S42" s="3" t="inlineStr"/>
      <c r="T42" s="3" t="inlineStr"/>
      <c r="U42" s="3" t="inlineStr"/>
    </row>
    <row r="43" ht="46" customHeight="1">
      <c r="A43" s="2" t="inlineStr">
        <is>
          <t>C10-2627-SCI-REQ042-REASS-004</t>
        </is>
      </c>
      <c r="B43" s="2" t="inlineStr">
        <is>
          <t>Science</t>
        </is>
      </c>
      <c r="C43" s="2" t="inlineStr">
        <is>
          <t>Effects of Current</t>
        </is>
      </c>
      <c r="D43" s="2" t="inlineStr">
        <is>
          <t>Electricity</t>
        </is>
      </c>
      <c r="E43" s="2" t="inlineStr">
        <is>
          <t>REQ_SCI_2026_042</t>
        </is>
      </c>
      <c r="F43" s="2" t="inlineStr">
        <is>
          <t>LO_11.2.1.1 — Apply Joule's Law of Heating and compute commercial electrical energy consumption in kWh.</t>
        </is>
      </c>
      <c r="G43" s="2" t="inlineStr">
        <is>
          <t>Heating Effect of Electric Current</t>
        </is>
      </c>
      <c r="H43" s="2" t="inlineStr">
        <is>
          <t>The heating element of an electric iron is made of an alloy while its connecting cable is made of copper.
Explain this choice of materials in terms of the heating effect of current.</t>
        </is>
      </c>
      <c r="I43" s="2" t="inlineStr">
        <is>
          <t>(constructed response)</t>
        </is>
      </c>
      <c r="J43" s="2" t="inlineStr">
        <is>
          <t>The alloy has a high resistivity and a high melting point so it produces the heat, while copper has a very low resistivity so the cable stays cool.</t>
        </is>
      </c>
      <c r="K43" s="2" t="inlineStr">
        <is>
          <t>Heat produced varies as I^2 R t. A high resistance element dissipates a large amount of heat and its high melting point prevents it from melting, whereas the low resistance copper cable dissipates very little heat and conducts the current safely.</t>
        </is>
      </c>
      <c r="L43" s="2" t="n">
        <v>3</v>
      </c>
      <c r="M43" s="2" t="inlineStr">
        <is>
          <t>Science_SecP1_2026-27.pdf Page 7</t>
        </is>
      </c>
      <c r="N43" s="2" t="inlineStr">
        <is>
          <t>draft / unverified / REVIEW_PENDING</t>
        </is>
      </c>
      <c r="O43" s="3" t="inlineStr"/>
      <c r="P43" s="3" t="inlineStr"/>
      <c r="Q43" s="3" t="inlineStr"/>
      <c r="R43" s="3" t="inlineStr"/>
      <c r="S43" s="3" t="inlineStr"/>
      <c r="T43" s="3" t="inlineStr"/>
      <c r="U43" s="3" t="inlineStr"/>
    </row>
    <row r="44" ht="46" customHeight="1">
      <c r="A44" s="2" t="inlineStr">
        <is>
          <t>C10-2627-SCI-REQ042-REASS-005</t>
        </is>
      </c>
      <c r="B44" s="2" t="inlineStr">
        <is>
          <t>Science</t>
        </is>
      </c>
      <c r="C44" s="2" t="inlineStr">
        <is>
          <t>Effects of Current</t>
        </is>
      </c>
      <c r="D44" s="2" t="inlineStr">
        <is>
          <t>Electricity</t>
        </is>
      </c>
      <c r="E44" s="2" t="inlineStr">
        <is>
          <t>REQ_SCI_2026_042</t>
        </is>
      </c>
      <c r="F44" s="2" t="inlineStr">
        <is>
          <t>LO_11.2.1.1 — Apply Joule's Law of Heating and compute commercial electrical energy consumption in kWh.</t>
        </is>
      </c>
      <c r="G44" s="2" t="inlineStr">
        <is>
          <t>Heating Effect of Electric Current</t>
        </is>
      </c>
      <c r="H44" s="2" t="inlineStr">
        <is>
          <t>Assertion (A): Doubling the current through a fixed resistor for the same time makes the heat produced four times as great.
Reason (R): The heat produced in a resistor is proportional to the square of the current.
Choose the correct option.</t>
        </is>
      </c>
      <c r="I44" s="2" t="inlineStr">
        <is>
          <t>A. Both A and R are true and R is the correct explanation of A.
B. Both A and R are true but R is not the correct explanation of A.
C. A is true but R is false.
D. A is false but R is true.</t>
        </is>
      </c>
      <c r="J44" s="2" t="inlineStr">
        <is>
          <t>Both A and R are true and R is the correct explanation of A.</t>
        </is>
      </c>
      <c r="K44" s="2" t="inlineStr">
        <is>
          <t>Since H = I^2 R t, replacing I by 2I multiplies the heat by 2^2 = 4 when R and t are unchanged.</t>
        </is>
      </c>
      <c r="L44" s="2" t="n">
        <v>3</v>
      </c>
      <c r="M44" s="2" t="inlineStr">
        <is>
          <t>Science_SecP1_2026-27.pdf Page 7</t>
        </is>
      </c>
      <c r="N44" s="2" t="inlineStr">
        <is>
          <t>draft / unverified / REVIEW_PENDING</t>
        </is>
      </c>
      <c r="O44" s="3" t="inlineStr"/>
      <c r="P44" s="3" t="inlineStr"/>
      <c r="Q44" s="3" t="inlineStr"/>
      <c r="R44" s="3" t="inlineStr"/>
      <c r="S44" s="3" t="inlineStr"/>
      <c r="T44" s="3" t="inlineStr"/>
      <c r="U44" s="3" t="inlineStr"/>
    </row>
    <row r="45" ht="46" customHeight="1">
      <c r="A45" s="2" t="inlineStr">
        <is>
          <t>C10-2627-SCI-REQ043-DIAG-001</t>
        </is>
      </c>
      <c r="B45" s="2" t="inlineStr">
        <is>
          <t>Science</t>
        </is>
      </c>
      <c r="C45" s="2" t="inlineStr">
        <is>
          <t>Effects of Current</t>
        </is>
      </c>
      <c r="D45" s="2" t="inlineStr">
        <is>
          <t>Magnetic Effects of Electric Current</t>
        </is>
      </c>
      <c r="E45" s="2" t="inlineStr">
        <is>
          <t>REQ_SCI_2026_043</t>
        </is>
      </c>
      <c r="F45" s="2" t="inlineStr">
        <is>
          <t>LO_12.1.1.1 — Determine magnetic field patterns using Right-Hand Thumb Rule for straight conductors, circular loops, and solenoids.</t>
        </is>
      </c>
      <c r="G45" s="2" t="inlineStr">
        <is>
          <t>Magnetic Field and Field Lines</t>
        </is>
      </c>
      <c r="H45" s="2" t="inlineStr">
        <is>
          <t>State the right-hand thumb rule and use it to describe the field around a long straight wire carrying current vertically upwards, as seen from above.</t>
        </is>
      </c>
      <c r="I45" s="2" t="inlineStr">
        <is>
          <t>(constructed response)</t>
        </is>
      </c>
      <c r="J45" s="2" t="inlineStr">
        <is>
          <t>The field lines are concentric circles around the wire, directed anticlockwise when seen from above.</t>
        </is>
      </c>
      <c r="K45" s="2" t="inlineStr">
        <is>
          <t>If the wire is grasped in the right hand with the thumb pointing along the current, the curled fingers give the direction of the field. With the current upwards, the field circles the wire anticlockwise when viewed from above.</t>
        </is>
      </c>
      <c r="L45" s="2" t="n">
        <v>2</v>
      </c>
      <c r="M45" s="2" t="inlineStr">
        <is>
          <t>Science_SecP1_2026-27.pdf Page 7</t>
        </is>
      </c>
      <c r="N45" s="2" t="inlineStr">
        <is>
          <t>draft / unverified / REVIEW_PENDING</t>
        </is>
      </c>
      <c r="O45" s="3" t="inlineStr"/>
      <c r="P45" s="3" t="inlineStr"/>
      <c r="Q45" s="3" t="inlineStr"/>
      <c r="R45" s="3" t="inlineStr"/>
      <c r="S45" s="3" t="inlineStr"/>
      <c r="T45" s="3" t="inlineStr"/>
      <c r="U45" s="3" t="inlineStr"/>
    </row>
    <row r="46" ht="46" customHeight="1">
      <c r="A46" s="2" t="inlineStr">
        <is>
          <t>C10-2627-SCI-REQ043-DIAG-002</t>
        </is>
      </c>
      <c r="B46" s="2" t="inlineStr">
        <is>
          <t>Science</t>
        </is>
      </c>
      <c r="C46" s="2" t="inlineStr">
        <is>
          <t>Effects of Current</t>
        </is>
      </c>
      <c r="D46" s="2" t="inlineStr">
        <is>
          <t>Magnetic Effects of Electric Current</t>
        </is>
      </c>
      <c r="E46" s="2" t="inlineStr">
        <is>
          <t>REQ_SCI_2026_043</t>
        </is>
      </c>
      <c r="F46" s="2" t="inlineStr">
        <is>
          <t>LO_12.1.1.1 — Determine magnetic field patterns using Right-Hand Thumb Rule for straight conductors, circular loops, and solenoids.</t>
        </is>
      </c>
      <c r="G46" s="2" t="inlineStr">
        <is>
          <t>Magnetic Field and Field Lines</t>
        </is>
      </c>
      <c r="H46" s="2" t="inlineStr">
        <is>
          <t>Two magnetic field lines can never intersect each other because</t>
        </is>
      </c>
      <c r="I46" s="2" t="inlineStr">
        <is>
          <t>A. field lines are only imaginary and have no direction
B. at the point of intersection the field would have two directions, which is impossible
C. field lines always begin at the south pole
D. the field is strongest at points of intersection</t>
        </is>
      </c>
      <c r="J46" s="2" t="inlineStr">
        <is>
          <t>at the point of intersection the field would have two directions, which is impossible</t>
        </is>
      </c>
      <c r="K46" s="2" t="inlineStr">
        <is>
          <t>The tangent to a field line gives the direction of the field at that point, and the field at a point can have only one direction.</t>
        </is>
      </c>
      <c r="L46" s="2" t="n">
        <v>2</v>
      </c>
      <c r="M46" s="2" t="inlineStr">
        <is>
          <t>Science_SecP1_2026-27.pdf Page 7</t>
        </is>
      </c>
      <c r="N46" s="2" t="inlineStr">
        <is>
          <t>draft / unverified / REVIEW_PENDING</t>
        </is>
      </c>
      <c r="O46" s="3" t="inlineStr"/>
      <c r="P46" s="3" t="inlineStr"/>
      <c r="Q46" s="3" t="inlineStr"/>
      <c r="R46" s="3" t="inlineStr"/>
      <c r="S46" s="3" t="inlineStr"/>
      <c r="T46" s="3" t="inlineStr"/>
      <c r="U46" s="3" t="inlineStr"/>
    </row>
    <row r="47" ht="46" customHeight="1">
      <c r="A47" s="2" t="inlineStr">
        <is>
          <t>C10-2627-SCI-REQ043-REASS-001</t>
        </is>
      </c>
      <c r="B47" s="2" t="inlineStr">
        <is>
          <t>Science</t>
        </is>
      </c>
      <c r="C47" s="2" t="inlineStr">
        <is>
          <t>Effects of Current</t>
        </is>
      </c>
      <c r="D47" s="2" t="inlineStr">
        <is>
          <t>Magnetic Effects of Electric Current</t>
        </is>
      </c>
      <c r="E47" s="2" t="inlineStr">
        <is>
          <t>REQ_SCI_2026_043</t>
        </is>
      </c>
      <c r="F47" s="2" t="inlineStr">
        <is>
          <t>LO_12.1.1.1 — Determine magnetic field patterns using Right-Hand Thumb Rule for straight conductors, circular loops, and solenoids.</t>
        </is>
      </c>
      <c r="G47" s="2" t="inlineStr">
        <is>
          <t>Magnetic Field and Field Lines</t>
        </is>
      </c>
      <c r="H47" s="2" t="inlineStr">
        <is>
          <t>Describe the magnetic field inside a current-carrying solenoid and state one use of this arrangement.</t>
        </is>
      </c>
      <c r="I47" s="2" t="inlineStr">
        <is>
          <t>(constructed response)</t>
        </is>
      </c>
      <c r="J47" s="2" t="inlineStr">
        <is>
          <t>The field inside is uniform and parallel to the axis, resembling that of a bar magnet; it is used to magnetise a soft iron core to form an electromagnet.</t>
        </is>
      </c>
      <c r="K47" s="2" t="inlineStr">
        <is>
          <t>Inside a long solenoid the field lines are straight, equally spaced and parallel, so the field is uniform. Placing a soft iron core inside makes a strong electromagnet used in devices such as electric bells.</t>
        </is>
      </c>
      <c r="L47" s="2" t="n">
        <v>3</v>
      </c>
      <c r="M47" s="2" t="inlineStr">
        <is>
          <t>Science_SecP1_2026-27.pdf Page 7</t>
        </is>
      </c>
      <c r="N47" s="2" t="inlineStr">
        <is>
          <t>draft / unverified / REVIEW_PENDING</t>
        </is>
      </c>
      <c r="O47" s="3" t="inlineStr"/>
      <c r="P47" s="3" t="inlineStr"/>
      <c r="Q47" s="3" t="inlineStr"/>
      <c r="R47" s="3" t="inlineStr"/>
      <c r="S47" s="3" t="inlineStr"/>
      <c r="T47" s="3" t="inlineStr"/>
      <c r="U47" s="3" t="inlineStr"/>
    </row>
    <row r="48" ht="46" customHeight="1">
      <c r="A48" s="2" t="inlineStr">
        <is>
          <t>C10-2627-SCI-REQ043-REASS-002</t>
        </is>
      </c>
      <c r="B48" s="2" t="inlineStr">
        <is>
          <t>Science</t>
        </is>
      </c>
      <c r="C48" s="2" t="inlineStr">
        <is>
          <t>Effects of Current</t>
        </is>
      </c>
      <c r="D48" s="2" t="inlineStr">
        <is>
          <t>Magnetic Effects of Electric Current</t>
        </is>
      </c>
      <c r="E48" s="2" t="inlineStr">
        <is>
          <t>REQ_SCI_2026_043</t>
        </is>
      </c>
      <c r="F48" s="2" t="inlineStr">
        <is>
          <t>LO_12.1.1.1 — Determine magnetic field patterns using Right-Hand Thumb Rule for straight conductors, circular loops, and solenoids.</t>
        </is>
      </c>
      <c r="G48" s="2" t="inlineStr">
        <is>
          <t>Magnetic Field and Field Lines</t>
        </is>
      </c>
      <c r="H48" s="2" t="inlineStr">
        <is>
          <t>How does the strength of the magnetic field at the centre of a circular current-carrying loop change if the number of turns is increased from 1 to 5, the current remaining unchanged?</t>
        </is>
      </c>
      <c r="I48" s="2" t="inlineStr">
        <is>
          <t>(constructed response)</t>
        </is>
      </c>
      <c r="J48" s="2" t="inlineStr">
        <is>
          <t>It becomes five times as strong.</t>
        </is>
      </c>
      <c r="K48" s="2" t="inlineStr">
        <is>
          <t>The fields due to the individual turns are in the same direction at the centre and add, so with n turns the field is n times that of a single turn.</t>
        </is>
      </c>
      <c r="L48" s="2" t="n">
        <v>3</v>
      </c>
      <c r="M48" s="2" t="inlineStr">
        <is>
          <t>Science_SecP1_2026-27.pdf Page 7</t>
        </is>
      </c>
      <c r="N48" s="2" t="inlineStr">
        <is>
          <t>draft / unverified / REVIEW_PENDING</t>
        </is>
      </c>
      <c r="O48" s="3" t="inlineStr"/>
      <c r="P48" s="3" t="inlineStr"/>
      <c r="Q48" s="3" t="inlineStr"/>
      <c r="R48" s="3" t="inlineStr"/>
      <c r="S48" s="3" t="inlineStr"/>
      <c r="T48" s="3" t="inlineStr"/>
      <c r="U48" s="3" t="inlineStr"/>
    </row>
    <row r="49" ht="46" customHeight="1">
      <c r="A49" s="2" t="inlineStr">
        <is>
          <t>C10-2627-SCI-REQ043-REASS-003</t>
        </is>
      </c>
      <c r="B49" s="2" t="inlineStr">
        <is>
          <t>Science</t>
        </is>
      </c>
      <c r="C49" s="2" t="inlineStr">
        <is>
          <t>Effects of Current</t>
        </is>
      </c>
      <c r="D49" s="2" t="inlineStr">
        <is>
          <t>Magnetic Effects of Electric Current</t>
        </is>
      </c>
      <c r="E49" s="2" t="inlineStr">
        <is>
          <t>REQ_SCI_2026_043</t>
        </is>
      </c>
      <c r="F49" s="2" t="inlineStr">
        <is>
          <t>LO_12.1.1.1 — Determine magnetic field patterns using Right-Hand Thumb Rule for straight conductors, circular loops, and solenoids.</t>
        </is>
      </c>
      <c r="G49" s="2" t="inlineStr">
        <is>
          <t>Magnetic Field and Field Lines</t>
        </is>
      </c>
      <c r="H49" s="2" t="inlineStr">
        <is>
          <t>Outside a bar magnet, the magnetic field lines are directed</t>
        </is>
      </c>
      <c r="I49" s="2" t="inlineStr">
        <is>
          <t>A. from the middle of the magnet outwards
B. randomly in all directions
C. from the north pole to the south pole
D. from the south pole to the north pole</t>
        </is>
      </c>
      <c r="J49" s="2" t="inlineStr">
        <is>
          <t>from the north pole to the south pole</t>
        </is>
      </c>
      <c r="K49" s="2" t="inlineStr">
        <is>
          <t>By convention field lines emerge from the north pole and enter the south pole outside the magnet, completing the loop inside it.</t>
        </is>
      </c>
      <c r="L49" s="2" t="n">
        <v>2</v>
      </c>
      <c r="M49" s="2" t="inlineStr">
        <is>
          <t>Science_SecP1_2026-27.pdf Page 7</t>
        </is>
      </c>
      <c r="N49" s="2" t="inlineStr">
        <is>
          <t>draft / unverified / REVIEW_PENDING</t>
        </is>
      </c>
      <c r="O49" s="3" t="inlineStr"/>
      <c r="P49" s="3" t="inlineStr"/>
      <c r="Q49" s="3" t="inlineStr"/>
      <c r="R49" s="3" t="inlineStr"/>
      <c r="S49" s="3" t="inlineStr"/>
      <c r="T49" s="3" t="inlineStr"/>
      <c r="U49" s="3" t="inlineStr"/>
    </row>
    <row r="50" ht="46" customHeight="1">
      <c r="A50" s="2" t="inlineStr">
        <is>
          <t>C10-2627-SCI-REQ043-REASS-004</t>
        </is>
      </c>
      <c r="B50" s="2" t="inlineStr">
        <is>
          <t>Science</t>
        </is>
      </c>
      <c r="C50" s="2" t="inlineStr">
        <is>
          <t>Effects of Current</t>
        </is>
      </c>
      <c r="D50" s="2" t="inlineStr">
        <is>
          <t>Magnetic Effects of Electric Current</t>
        </is>
      </c>
      <c r="E50" s="2" t="inlineStr">
        <is>
          <t>REQ_SCI_2026_043</t>
        </is>
      </c>
      <c r="F50" s="2" t="inlineStr">
        <is>
          <t>LO_12.1.1.1 — Determine magnetic field patterns using Right-Hand Thumb Rule for straight conductors, circular loops, and solenoids.</t>
        </is>
      </c>
      <c r="G50" s="2" t="inlineStr">
        <is>
          <t>Magnetic Field and Field Lines</t>
        </is>
      </c>
      <c r="H50" s="2" t="inlineStr">
        <is>
          <t>A small compass is placed near a straight horizontal wire. When the switch is closed and current flows, the compass needle is deflected.
What does this observation establish, and what happens if the direction of the current is reversed?</t>
        </is>
      </c>
      <c r="I50" s="2" t="inlineStr">
        <is>
          <t>(constructed response)</t>
        </is>
      </c>
      <c r="J50" s="2" t="inlineStr">
        <is>
          <t>It establishes that a current-carrying conductor produces a magnetic field; reversing the current reverses the deflection.</t>
        </is>
      </c>
      <c r="K50" s="2" t="inlineStr">
        <is>
          <t>The deflection shows a magnetic field exists around the conductor. Because the direction of the field follows the right-hand thumb rule, reversing the current reverses the field and hence the direction of the needle's deflection.</t>
        </is>
      </c>
      <c r="L50" s="2" t="n">
        <v>3</v>
      </c>
      <c r="M50" s="2" t="inlineStr">
        <is>
          <t>Science_SecP1_2026-27.pdf Page 7</t>
        </is>
      </c>
      <c r="N50" s="2" t="inlineStr">
        <is>
          <t>draft / unverified / REVIEW_PENDING</t>
        </is>
      </c>
      <c r="O50" s="3" t="inlineStr"/>
      <c r="P50" s="3" t="inlineStr"/>
      <c r="Q50" s="3" t="inlineStr"/>
      <c r="R50" s="3" t="inlineStr"/>
      <c r="S50" s="3" t="inlineStr"/>
      <c r="T50" s="3" t="inlineStr"/>
      <c r="U50" s="3" t="inlineStr"/>
    </row>
    <row r="51" ht="46" customHeight="1">
      <c r="A51" s="2" t="inlineStr">
        <is>
          <t>C10-2627-SCI-REQ043-REASS-005</t>
        </is>
      </c>
      <c r="B51" s="2" t="inlineStr">
        <is>
          <t>Science</t>
        </is>
      </c>
      <c r="C51" s="2" t="inlineStr">
        <is>
          <t>Effects of Current</t>
        </is>
      </c>
      <c r="D51" s="2" t="inlineStr">
        <is>
          <t>Magnetic Effects of Electric Current</t>
        </is>
      </c>
      <c r="E51" s="2" t="inlineStr">
        <is>
          <t>REQ_SCI_2026_043</t>
        </is>
      </c>
      <c r="F51" s="2" t="inlineStr">
        <is>
          <t>LO_12.1.1.1 — Determine magnetic field patterns using Right-Hand Thumb Rule for straight conductors, circular loops, and solenoids.</t>
        </is>
      </c>
      <c r="G51" s="2" t="inlineStr">
        <is>
          <t>Magnetic Field and Field Lines</t>
        </is>
      </c>
      <c r="H51" s="2" t="inlineStr">
        <is>
          <t>Assertion (A): The magnetic field is stronger where the field lines are crowded together.
Reason (R): The number of field lines per unit area represents the strength of the field.
Choose the correct option.</t>
        </is>
      </c>
      <c r="I51" s="2" t="inlineStr">
        <is>
          <t>A. Both A and R are true and R is the correct explanation of A.
B. Both A and R are true but R is not the correct explanation of A.
C. A is true but R is false.
D. A is false but R is true.</t>
        </is>
      </c>
      <c r="J51" s="2" t="inlineStr">
        <is>
          <t>Both A and R are true and R is the correct explanation of A.</t>
        </is>
      </c>
      <c r="K51" s="2" t="inlineStr">
        <is>
          <t>Closely spaced lines mean more lines cross unit area, which by convention represents a stronger field.</t>
        </is>
      </c>
      <c r="L51" s="2" t="n">
        <v>2</v>
      </c>
      <c r="M51" s="2" t="inlineStr">
        <is>
          <t>Science_SecP1_2026-27.pdf Page 7</t>
        </is>
      </c>
      <c r="N51" s="2" t="inlineStr">
        <is>
          <t>draft / unverified / REVIEW_PENDING</t>
        </is>
      </c>
      <c r="O51" s="3" t="inlineStr"/>
      <c r="P51" s="3" t="inlineStr"/>
      <c r="Q51" s="3" t="inlineStr"/>
      <c r="R51" s="3" t="inlineStr"/>
      <c r="S51" s="3" t="inlineStr"/>
      <c r="T51" s="3" t="inlineStr"/>
      <c r="U51" s="3" t="inlineStr"/>
    </row>
    <row r="52" ht="46" customHeight="1">
      <c r="A52" s="2" t="inlineStr">
        <is>
          <t>C10-2627-SCI-REQ043-DIAG-003</t>
        </is>
      </c>
      <c r="B52" s="2" t="inlineStr">
        <is>
          <t>Science</t>
        </is>
      </c>
      <c r="C52" s="2" t="inlineStr">
        <is>
          <t>Effects of Current</t>
        </is>
      </c>
      <c r="D52" s="2" t="inlineStr">
        <is>
          <t>Magnetic Effects of Electric Current</t>
        </is>
      </c>
      <c r="E52" s="2" t="inlineStr">
        <is>
          <t>REQ_SCI_2026_043, REQ_SCI_2026_044</t>
        </is>
      </c>
      <c r="F52" s="2" t="inlineStr">
        <is>
          <t>LO_12.2.1.1 — Apply Fleming's Left-Hand Rule to force vectors and detail safety features in domestic electric circuits.</t>
        </is>
      </c>
      <c r="G52" s="2" t="inlineStr">
        <is>
          <t>Force on a Current-Carrying Conductor and Domestic Circuits</t>
        </is>
      </c>
      <c r="H52" s="2" t="inlineStr">
        <is>
          <t>State Fleming's left-hand rule and name the quantity indicated by each of the three fingers.</t>
        </is>
      </c>
      <c r="I52" s="2" t="inlineStr">
        <is>
          <t>(constructed response)</t>
        </is>
      </c>
      <c r="J52" s="2" t="inlineStr">
        <is>
          <t>With the thumb, forefinger and middle finger of the left hand held mutually perpendicular, the forefinger shows the field, the middle finger the current and the thumb the force.</t>
        </is>
      </c>
      <c r="K52" s="2" t="inlineStr">
        <is>
          <t>The rule gives the direction of the force on a current-carrying conductor placed in a magnetic field: forefinger for field, central finger for current and thumb for the resulting motion or force.</t>
        </is>
      </c>
      <c r="L52" s="2" t="n">
        <v>3</v>
      </c>
      <c r="M52" s="2" t="inlineStr">
        <is>
          <t>Science_SecP1_2026-27.pdf Page 7</t>
        </is>
      </c>
      <c r="N52" s="2" t="inlineStr">
        <is>
          <t>draft / unverified / REVIEW_PENDING</t>
        </is>
      </c>
      <c r="O52" s="3" t="inlineStr"/>
      <c r="P52" s="3" t="inlineStr"/>
      <c r="Q52" s="3" t="inlineStr"/>
      <c r="R52" s="3" t="inlineStr"/>
      <c r="S52" s="3" t="inlineStr"/>
      <c r="T52" s="3" t="inlineStr"/>
      <c r="U52" s="3" t="inlineStr"/>
    </row>
    <row r="53" ht="46" customHeight="1">
      <c r="A53" s="2" t="inlineStr">
        <is>
          <t>C10-2627-SCI-REQ043-DIAG-004</t>
        </is>
      </c>
      <c r="B53" s="2" t="inlineStr">
        <is>
          <t>Science</t>
        </is>
      </c>
      <c r="C53" s="2" t="inlineStr">
        <is>
          <t>Effects of Current</t>
        </is>
      </c>
      <c r="D53" s="2" t="inlineStr">
        <is>
          <t>Magnetic Effects of Electric Current</t>
        </is>
      </c>
      <c r="E53" s="2" t="inlineStr">
        <is>
          <t>REQ_SCI_2026_043, REQ_SCI_2026_044</t>
        </is>
      </c>
      <c r="F53" s="2" t="inlineStr">
        <is>
          <t>LO_12.2.1.1 — Apply Fleming's Left-Hand Rule to force vectors and detail safety features in domestic electric circuits.</t>
        </is>
      </c>
      <c r="G53" s="2" t="inlineStr">
        <is>
          <t>Force on a Current-Carrying Conductor and Domestic Circuits</t>
        </is>
      </c>
      <c r="H53" s="2" t="inlineStr">
        <is>
          <t>The earth wire in a domestic circuit is provided mainly to</t>
        </is>
      </c>
      <c r="I53" s="2" t="inlineStr">
        <is>
          <t>A. convert alternating current to direct current
B. give a low resistance path to earth so that the metal body of an appliance stays at earth potential
C. increase the current supplied to the appliance
D. reduce the electricity bill</t>
        </is>
      </c>
      <c r="J53" s="2" t="inlineStr">
        <is>
          <t>give a low resistance path to earth so that the metal body of an appliance stays at earth potential</t>
        </is>
      </c>
      <c r="K53" s="2" t="inlineStr">
        <is>
          <t>If a live wire touches the metal casing, the earth wire carries the current safely to the ground, preventing a severe shock to the user.</t>
        </is>
      </c>
      <c r="L53" s="2" t="n">
        <v>2</v>
      </c>
      <c r="M53" s="2" t="inlineStr">
        <is>
          <t>Science_SecP1_2026-27.pdf Page 7</t>
        </is>
      </c>
      <c r="N53" s="2" t="inlineStr">
        <is>
          <t>draft / unverified / REVIEW_PENDING</t>
        </is>
      </c>
      <c r="O53" s="3" t="inlineStr"/>
      <c r="P53" s="3" t="inlineStr"/>
      <c r="Q53" s="3" t="inlineStr"/>
      <c r="R53" s="3" t="inlineStr"/>
      <c r="S53" s="3" t="inlineStr"/>
      <c r="T53" s="3" t="inlineStr"/>
      <c r="U53" s="3" t="inlineStr"/>
    </row>
    <row r="54" ht="46" customHeight="1">
      <c r="A54" s="2" t="inlineStr">
        <is>
          <t>C10-2627-SCI-REQ043-REASS-006</t>
        </is>
      </c>
      <c r="B54" s="2" t="inlineStr">
        <is>
          <t>Science</t>
        </is>
      </c>
      <c r="C54" s="2" t="inlineStr">
        <is>
          <t>Effects of Current</t>
        </is>
      </c>
      <c r="D54" s="2" t="inlineStr">
        <is>
          <t>Magnetic Effects of Electric Current</t>
        </is>
      </c>
      <c r="E54" s="2" t="inlineStr">
        <is>
          <t>REQ_SCI_2026_043, REQ_SCI_2026_044</t>
        </is>
      </c>
      <c r="F54" s="2" t="inlineStr">
        <is>
          <t>LO_12.2.1.1 — Apply Fleming's Left-Hand Rule to force vectors and detail safety features in domestic electric circuits.</t>
        </is>
      </c>
      <c r="G54" s="2" t="inlineStr">
        <is>
          <t>Force on a Current-Carrying Conductor and Domestic Circuits</t>
        </is>
      </c>
      <c r="H54" s="2" t="inlineStr">
        <is>
          <t>Explain the function of a fuse in a domestic circuit and state the property of the fuse wire that makes it suitable.</t>
        </is>
      </c>
      <c r="I54" s="2" t="inlineStr">
        <is>
          <t>(constructed response)</t>
        </is>
      </c>
      <c r="J54" s="2" t="inlineStr">
        <is>
          <t>It melts and breaks the circuit when the current exceeds a safe value; the fuse wire has a low melting point and suitable resistance.</t>
        </is>
      </c>
      <c r="K54" s="2" t="inlineStr">
        <is>
          <t>During a short circuit or overload the current rises sharply and the heat produced, being proportional to I^2 R t, melts the thin fuse wire, breaking the circuit and protecting the appliances and wiring.</t>
        </is>
      </c>
      <c r="L54" s="2" t="n">
        <v>3</v>
      </c>
      <c r="M54" s="2" t="inlineStr">
        <is>
          <t>Science_SecP1_2026-27.pdf Page 7</t>
        </is>
      </c>
      <c r="N54" s="2" t="inlineStr">
        <is>
          <t>draft / unverified / REVIEW_PENDING</t>
        </is>
      </c>
      <c r="O54" s="3" t="inlineStr"/>
      <c r="P54" s="3" t="inlineStr"/>
      <c r="Q54" s="3" t="inlineStr"/>
      <c r="R54" s="3" t="inlineStr"/>
      <c r="S54" s="3" t="inlineStr"/>
      <c r="T54" s="3" t="inlineStr"/>
      <c r="U54" s="3" t="inlineStr"/>
    </row>
    <row r="55" ht="46" customHeight="1">
      <c r="A55" s="2" t="inlineStr">
        <is>
          <t>C10-2627-SCI-REQ043-REASS-007</t>
        </is>
      </c>
      <c r="B55" s="2" t="inlineStr">
        <is>
          <t>Science</t>
        </is>
      </c>
      <c r="C55" s="2" t="inlineStr">
        <is>
          <t>Effects of Current</t>
        </is>
      </c>
      <c r="D55" s="2" t="inlineStr">
        <is>
          <t>Magnetic Effects of Electric Current</t>
        </is>
      </c>
      <c r="E55" s="2" t="inlineStr">
        <is>
          <t>REQ_SCI_2026_043, REQ_SCI_2026_044</t>
        </is>
      </c>
      <c r="F55" s="2" t="inlineStr">
        <is>
          <t>LO_12.2.1.1 — Apply Fleming's Left-Hand Rule to force vectors and detail safety features in domestic electric circuits.</t>
        </is>
      </c>
      <c r="G55" s="2" t="inlineStr">
        <is>
          <t>Force on a Current-Carrying Conductor and Domestic Circuits</t>
        </is>
      </c>
      <c r="H55" s="2" t="inlineStr">
        <is>
          <t>A straight conductor carrying current from north to south is placed in a magnetic field directed vertically downwards. Use Fleming's left-hand rule to find the direction of the force on the conductor.</t>
        </is>
      </c>
      <c r="I55" s="2" t="inlineStr">
        <is>
          <t>(constructed response)</t>
        </is>
      </c>
      <c r="J55" s="2" t="inlineStr">
        <is>
          <t>The force acts towards the east.</t>
        </is>
      </c>
      <c r="K55" s="2" t="inlineStr">
        <is>
          <t>With the forefinger pointing downwards for the field and the middle finger pointing from north to south for the current, the thumb of the left hand points towards the east, giving the direction of the force.</t>
        </is>
      </c>
      <c r="L55" s="2" t="n">
        <v>3</v>
      </c>
      <c r="M55" s="2" t="inlineStr">
        <is>
          <t>Science_SecP1_2026-27.pdf Page 7</t>
        </is>
      </c>
      <c r="N55" s="2" t="inlineStr">
        <is>
          <t>draft / unverified / REVIEW_PENDING</t>
        </is>
      </c>
      <c r="O55" s="3" t="inlineStr"/>
      <c r="P55" s="3" t="inlineStr"/>
      <c r="Q55" s="3" t="inlineStr"/>
      <c r="R55" s="3" t="inlineStr"/>
      <c r="S55" s="3" t="inlineStr"/>
      <c r="T55" s="3" t="inlineStr"/>
      <c r="U55" s="3" t="inlineStr"/>
    </row>
    <row r="56" ht="46" customHeight="1">
      <c r="A56" s="2" t="inlineStr">
        <is>
          <t>C10-2627-SCI-REQ043-REASS-008</t>
        </is>
      </c>
      <c r="B56" s="2" t="inlineStr">
        <is>
          <t>Science</t>
        </is>
      </c>
      <c r="C56" s="2" t="inlineStr">
        <is>
          <t>Effects of Current</t>
        </is>
      </c>
      <c r="D56" s="2" t="inlineStr">
        <is>
          <t>Magnetic Effects of Electric Current</t>
        </is>
      </c>
      <c r="E56" s="2" t="inlineStr">
        <is>
          <t>REQ_SCI_2026_043, REQ_SCI_2026_044</t>
        </is>
      </c>
      <c r="F56" s="2" t="inlineStr">
        <is>
          <t>LO_12.2.1.1 — Apply Fleming's Left-Hand Rule to force vectors and detail safety features in domestic electric circuits.</t>
        </is>
      </c>
      <c r="G56" s="2" t="inlineStr">
        <is>
          <t>Force on a Current-Carrying Conductor and Domestic Circuits</t>
        </is>
      </c>
      <c r="H56" s="2" t="inlineStr">
        <is>
          <t>Overloading of a domestic circuit occurs mainly when</t>
        </is>
      </c>
      <c r="I56" s="2" t="inlineStr">
        <is>
          <t>A. the earth wire is properly connected
B. a fuse of correct rating is used
C. the live and neutral wires are correctly insulated
D. too many appliances of high power are used on the same circuit at once</t>
        </is>
      </c>
      <c r="J56" s="2" t="inlineStr">
        <is>
          <t>too many appliances of high power are used on the same circuit at once</t>
        </is>
      </c>
      <c r="K56" s="2" t="inlineStr">
        <is>
          <t>Each appliance draws current in parallel, so running several high power appliances together raises the total current beyond the safe rating of the wiring.</t>
        </is>
      </c>
      <c r="L56" s="2" t="n">
        <v>2</v>
      </c>
      <c r="M56" s="2" t="inlineStr">
        <is>
          <t>Science_SecP1_2026-27.pdf Page 7</t>
        </is>
      </c>
      <c r="N56" s="2" t="inlineStr">
        <is>
          <t>draft / unverified / REVIEW_PENDING</t>
        </is>
      </c>
      <c r="O56" s="3" t="inlineStr"/>
      <c r="P56" s="3" t="inlineStr"/>
      <c r="Q56" s="3" t="inlineStr"/>
      <c r="R56" s="3" t="inlineStr"/>
      <c r="S56" s="3" t="inlineStr"/>
      <c r="T56" s="3" t="inlineStr"/>
      <c r="U56" s="3" t="inlineStr"/>
    </row>
    <row r="57" ht="46" customHeight="1">
      <c r="A57" s="2" t="inlineStr">
        <is>
          <t>C10-2627-SCI-REQ043-REASS-009</t>
        </is>
      </c>
      <c r="B57" s="2" t="inlineStr">
        <is>
          <t>Science</t>
        </is>
      </c>
      <c r="C57" s="2" t="inlineStr">
        <is>
          <t>Effects of Current</t>
        </is>
      </c>
      <c r="D57" s="2" t="inlineStr">
        <is>
          <t>Magnetic Effects of Electric Current</t>
        </is>
      </c>
      <c r="E57" s="2" t="inlineStr">
        <is>
          <t>REQ_SCI_2026_043, REQ_SCI_2026_044</t>
        </is>
      </c>
      <c r="F57" s="2" t="inlineStr">
        <is>
          <t>LO_12.2.1.1 — Apply Fleming's Left-Hand Rule to force vectors and detail safety features in domestic electric circuits.</t>
        </is>
      </c>
      <c r="G57" s="2" t="inlineStr">
        <is>
          <t>Force on a Current-Carrying Conductor and Domestic Circuits</t>
        </is>
      </c>
      <c r="H57" s="2" t="inlineStr">
        <is>
          <t>In a household wiring system the live wire, the neutral wire and the earth wire are given different coloured insulation, and appliances are connected in parallel.
Give two reasons for connecting domestic appliances in parallel.</t>
        </is>
      </c>
      <c r="I57" s="2" t="inlineStr">
        <is>
          <t>(constructed response)</t>
        </is>
      </c>
      <c r="J57" s="2" t="inlineStr">
        <is>
          <t>Each appliance gets the full supply voltage, and each can be switched on or off independently without affecting the others.</t>
        </is>
      </c>
      <c r="K57" s="2" t="inlineStr">
        <is>
          <t>A parallel arrangement keeps the potential difference across every appliance equal to the supply voltage and allows separate switches, so a fault in one branch does not stop the rest of the circuit.</t>
        </is>
      </c>
      <c r="L57" s="2" t="n">
        <v>3</v>
      </c>
      <c r="M57" s="2" t="inlineStr">
        <is>
          <t>Science_SecP1_2026-27.pdf Page 7</t>
        </is>
      </c>
      <c r="N57" s="2" t="inlineStr">
        <is>
          <t>draft / unverified / REVIEW_PENDING</t>
        </is>
      </c>
      <c r="O57" s="3" t="inlineStr"/>
      <c r="P57" s="3" t="inlineStr"/>
      <c r="Q57" s="3" t="inlineStr"/>
      <c r="R57" s="3" t="inlineStr"/>
      <c r="S57" s="3" t="inlineStr"/>
      <c r="T57" s="3" t="inlineStr"/>
      <c r="U57" s="3" t="inlineStr"/>
    </row>
    <row r="58" ht="46" customHeight="1">
      <c r="A58" s="2" t="inlineStr">
        <is>
          <t>C10-2627-SCI-REQ043-REASS-010</t>
        </is>
      </c>
      <c r="B58" s="2" t="inlineStr">
        <is>
          <t>Science</t>
        </is>
      </c>
      <c r="C58" s="2" t="inlineStr">
        <is>
          <t>Effects of Current</t>
        </is>
      </c>
      <c r="D58" s="2" t="inlineStr">
        <is>
          <t>Magnetic Effects of Electric Current</t>
        </is>
      </c>
      <c r="E58" s="2" t="inlineStr">
        <is>
          <t>REQ_SCI_2026_043, REQ_SCI_2026_044</t>
        </is>
      </c>
      <c r="F58" s="2" t="inlineStr">
        <is>
          <t>LO_12.2.1.1 — Apply Fleming's Left-Hand Rule to force vectors and detail safety features in domestic electric circuits.</t>
        </is>
      </c>
      <c r="G58" s="2" t="inlineStr">
        <is>
          <t>Force on a Current-Carrying Conductor and Domestic Circuits</t>
        </is>
      </c>
      <c r="H58" s="2" t="inlineStr">
        <is>
          <t>Assertion (A): A fuse is always connected in the live wire of a circuit.
Reason (R): Placing the fuse in the live wire disconnects the supply from the appliance when the fuse blows.
Choose the correct option.</t>
        </is>
      </c>
      <c r="I58" s="2" t="inlineStr">
        <is>
          <t>A. Both A and R are true and R is the correct explanation of A.
B. Both A and R are true but R is not the correct explanation of A.
C. A is true but R is false.
D. A is false but R is true.</t>
        </is>
      </c>
      <c r="J58" s="2" t="inlineStr">
        <is>
          <t>Both A and R are true and R is the correct explanation of A.</t>
        </is>
      </c>
      <c r="K58" s="2" t="inlineStr">
        <is>
          <t>If the fuse were in the neutral wire the appliance would remain connected to the live supply even after the fuse melts, leaving it dangerous to touch.</t>
        </is>
      </c>
      <c r="L58" s="2" t="n">
        <v>3</v>
      </c>
      <c r="M58" s="2" t="inlineStr">
        <is>
          <t>Science_SecP1_2026-27.pdf Page 7</t>
        </is>
      </c>
      <c r="N58" s="2" t="inlineStr">
        <is>
          <t>draft / unverified / REVIEW_PENDING</t>
        </is>
      </c>
      <c r="O58" s="3" t="inlineStr"/>
      <c r="P58" s="3" t="inlineStr"/>
      <c r="Q58" s="3" t="inlineStr"/>
      <c r="R58" s="3" t="inlineStr"/>
      <c r="S58" s="3" t="inlineStr"/>
      <c r="T58" s="3" t="inlineStr"/>
      <c r="U58" s="3" t="inlineStr"/>
    </row>
    <row r="59" ht="46" customHeight="1">
      <c r="A59" s="2" t="inlineStr">
        <is>
          <t>C10-2627-SCI-REQ045-DIAG-001</t>
        </is>
      </c>
      <c r="B59" s="2" t="inlineStr">
        <is>
          <t>Science</t>
        </is>
      </c>
      <c r="C59" s="2" t="inlineStr">
        <is>
          <t>Natural Resources</t>
        </is>
      </c>
      <c r="D59" s="2" t="inlineStr">
        <is>
          <t>Our Environment</t>
        </is>
      </c>
      <c r="E59" s="2" t="inlineStr">
        <is>
          <t>REQ_SCI_2026_045, REQ_SCI_2026_046</t>
        </is>
      </c>
      <c r="F59" s="2" t="inlineStr">
        <is>
          <t>LO_13.1.1.1 — Apply Lindeman's 10% Energy Law to food chains and evaluate biological magnification.</t>
        </is>
      </c>
      <c r="G59" s="2" t="inlineStr">
        <is>
          <t>Ecosystem – What are its Components?</t>
        </is>
      </c>
      <c r="H59" s="2" t="inlineStr">
        <is>
          <t>In a food chain the producers capture 10000 J of energy. Using the ten per cent law, find the energy available to the third trophic level.</t>
        </is>
      </c>
      <c r="I59" s="2" t="inlineStr">
        <is>
          <t>(constructed response)</t>
        </is>
      </c>
      <c r="J59" s="2" t="inlineStr">
        <is>
          <t>100 J</t>
        </is>
      </c>
      <c r="K59" s="2" t="inlineStr">
        <is>
          <t>Only about ten per cent passes to each successive level, so 10000 J gives 1000 J at the second level and 100 J at the third.</t>
        </is>
      </c>
      <c r="L59" s="2" t="n">
        <v>3</v>
      </c>
      <c r="M59" s="2" t="inlineStr">
        <is>
          <t>Science_SecP1_2026-27.pdf Page 8</t>
        </is>
      </c>
      <c r="N59" s="2" t="inlineStr">
        <is>
          <t>draft / unverified / REVIEW_PENDING</t>
        </is>
      </c>
      <c r="O59" s="3" t="inlineStr"/>
      <c r="P59" s="3" t="inlineStr"/>
      <c r="Q59" s="3" t="inlineStr"/>
      <c r="R59" s="3" t="inlineStr"/>
      <c r="S59" s="3" t="inlineStr"/>
      <c r="T59" s="3" t="inlineStr"/>
      <c r="U59" s="3" t="inlineStr"/>
    </row>
    <row r="60" ht="46" customHeight="1">
      <c r="A60" s="2" t="inlineStr">
        <is>
          <t>C10-2627-SCI-REQ045-DIAG-002</t>
        </is>
      </c>
      <c r="B60" s="2" t="inlineStr">
        <is>
          <t>Science</t>
        </is>
      </c>
      <c r="C60" s="2" t="inlineStr">
        <is>
          <t>Natural Resources</t>
        </is>
      </c>
      <c r="D60" s="2" t="inlineStr">
        <is>
          <t>Our Environment</t>
        </is>
      </c>
      <c r="E60" s="2" t="inlineStr">
        <is>
          <t>REQ_SCI_2026_045, REQ_SCI_2026_046</t>
        </is>
      </c>
      <c r="F60" s="2" t="inlineStr">
        <is>
          <t>LO_13.1.1.1 — Apply Lindeman's 10% Energy Law to food chains and evaluate biological magnification.</t>
        </is>
      </c>
      <c r="G60" s="2" t="inlineStr">
        <is>
          <t>Ecosystem – What are its Components?</t>
        </is>
      </c>
      <c r="H60" s="2" t="inlineStr">
        <is>
          <t>Name the two broad components of an ecosystem and give one example of each.</t>
        </is>
      </c>
      <c r="I60" s="2" t="inlineStr">
        <is>
          <t>(constructed response)</t>
        </is>
      </c>
      <c r="J60" s="2" t="inlineStr">
        <is>
          <t>Biotic components such as plants and animals, and abiotic components such as air, water, soil and temperature.</t>
        </is>
      </c>
      <c r="K60" s="2" t="inlineStr">
        <is>
          <t>An ecosystem consists of all the living organisms in an area together with the non-living physical factors with which they interact.</t>
        </is>
      </c>
      <c r="L60" s="2" t="n">
        <v>2</v>
      </c>
      <c r="M60" s="2" t="inlineStr">
        <is>
          <t>Science_SecP1_2026-27.pdf Page 8</t>
        </is>
      </c>
      <c r="N60" s="2" t="inlineStr">
        <is>
          <t>draft / unverified / REVIEW_PENDING</t>
        </is>
      </c>
      <c r="O60" s="3" t="inlineStr"/>
      <c r="P60" s="3" t="inlineStr"/>
      <c r="Q60" s="3" t="inlineStr"/>
      <c r="R60" s="3" t="inlineStr"/>
      <c r="S60" s="3" t="inlineStr"/>
      <c r="T60" s="3" t="inlineStr"/>
      <c r="U60" s="3" t="inlineStr"/>
    </row>
    <row r="61" ht="46" customHeight="1">
      <c r="A61" s="2" t="inlineStr">
        <is>
          <t>C10-2627-SCI-REQ045-DIAG-003</t>
        </is>
      </c>
      <c r="B61" s="2" t="inlineStr">
        <is>
          <t>Science</t>
        </is>
      </c>
      <c r="C61" s="2" t="inlineStr">
        <is>
          <t>Natural Resources</t>
        </is>
      </c>
      <c r="D61" s="2" t="inlineStr">
        <is>
          <t>Our Environment</t>
        </is>
      </c>
      <c r="E61" s="2" t="inlineStr">
        <is>
          <t>REQ_SCI_2026_045, REQ_SCI_2026_046</t>
        </is>
      </c>
      <c r="F61" s="2" t="inlineStr">
        <is>
          <t>LO_13.1.1.1 — Apply Lindeman's 10% Energy Law to food chains and evaluate biological magnification.</t>
        </is>
      </c>
      <c r="G61" s="2" t="inlineStr">
        <is>
          <t>Ecosystem – What are its Components?</t>
        </is>
      </c>
      <c r="H61" s="2" t="inlineStr">
        <is>
          <t>Organisms that break down dead remains and return nutrients to the soil are called</t>
        </is>
      </c>
      <c r="I61" s="2" t="inlineStr">
        <is>
          <t>A. top carnivores
B. decomposers
C. producers
D. herbivores</t>
        </is>
      </c>
      <c r="J61" s="2" t="inlineStr">
        <is>
          <t>decomposers</t>
        </is>
      </c>
      <c r="K61" s="2" t="inlineStr">
        <is>
          <t>Bacteria and fungi decompose dead organic matter and recycle nutrients into the environment.</t>
        </is>
      </c>
      <c r="L61" s="2" t="n">
        <v>1</v>
      </c>
      <c r="M61" s="2" t="inlineStr">
        <is>
          <t>Science_SecP1_2026-27.pdf Page 8</t>
        </is>
      </c>
      <c r="N61" s="2" t="inlineStr">
        <is>
          <t>draft / unverified / REVIEW_PENDING</t>
        </is>
      </c>
      <c r="O61" s="3" t="inlineStr"/>
      <c r="P61" s="3" t="inlineStr"/>
      <c r="Q61" s="3" t="inlineStr"/>
      <c r="R61" s="3" t="inlineStr"/>
      <c r="S61" s="3" t="inlineStr"/>
      <c r="T61" s="3" t="inlineStr"/>
      <c r="U61" s="3" t="inlineStr"/>
    </row>
    <row r="62" ht="46" customHeight="1">
      <c r="A62" s="2" t="inlineStr">
        <is>
          <t>C10-2627-SCI-REQ045-DIAG-004</t>
        </is>
      </c>
      <c r="B62" s="2" t="inlineStr">
        <is>
          <t>Science</t>
        </is>
      </c>
      <c r="C62" s="2" t="inlineStr">
        <is>
          <t>Natural Resources</t>
        </is>
      </c>
      <c r="D62" s="2" t="inlineStr">
        <is>
          <t>Our Environment</t>
        </is>
      </c>
      <c r="E62" s="2" t="inlineStr">
        <is>
          <t>REQ_SCI_2026_045, REQ_SCI_2026_046</t>
        </is>
      </c>
      <c r="F62" s="2" t="inlineStr">
        <is>
          <t>LO_13.1.1.1 — Apply Lindeman's 10% Energy Law to food chains and evaluate biological magnification.</t>
        </is>
      </c>
      <c r="G62" s="2" t="inlineStr">
        <is>
          <t>Ecosystem – What are its Components?</t>
        </is>
      </c>
      <c r="H62" s="2" t="inlineStr">
        <is>
          <t>A pesticide sprayed on a crop field is washed into a nearby pond. Traces are later found in the water, then in small fish, and finally in fish-eating birds, where the concentration is highest.
Name this phenomenon and explain why the concentration rises along the chain.</t>
        </is>
      </c>
      <c r="I62" s="2" t="inlineStr">
        <is>
          <t>(constructed response)</t>
        </is>
      </c>
      <c r="J62" s="2" t="inlineStr">
        <is>
          <t>Biological magnification; the chemical is not degraded or excreted, so it accumulates at each higher trophic level.</t>
        </is>
      </c>
      <c r="K62" s="2" t="inlineStr">
        <is>
          <t>Because the pesticide is non-biodegradable, each consumer takes in the whole quantity present in the many organisms it eats but excretes very little, so the concentration in body tissues increases at every successive trophic level.</t>
        </is>
      </c>
      <c r="L62" s="2" t="n">
        <v>4</v>
      </c>
      <c r="M62" s="2" t="inlineStr">
        <is>
          <t>Science_SecP1_2026-27.pdf Page 8</t>
        </is>
      </c>
      <c r="N62" s="2" t="inlineStr">
        <is>
          <t>draft / unverified / REVIEW_PENDING</t>
        </is>
      </c>
      <c r="O62" s="3" t="inlineStr"/>
      <c r="P62" s="3" t="inlineStr"/>
      <c r="Q62" s="3" t="inlineStr"/>
      <c r="R62" s="3" t="inlineStr"/>
      <c r="S62" s="3" t="inlineStr"/>
      <c r="T62" s="3" t="inlineStr"/>
      <c r="U62" s="3" t="inlineStr"/>
    </row>
    <row r="63" ht="46" customHeight="1">
      <c r="A63" s="2" t="inlineStr">
        <is>
          <t>C10-2627-SCI-REQ045-DIAG-005</t>
        </is>
      </c>
      <c r="B63" s="2" t="inlineStr">
        <is>
          <t>Science</t>
        </is>
      </c>
      <c r="C63" s="2" t="inlineStr">
        <is>
          <t>Natural Resources</t>
        </is>
      </c>
      <c r="D63" s="2" t="inlineStr">
        <is>
          <t>Our Environment</t>
        </is>
      </c>
      <c r="E63" s="2" t="inlineStr">
        <is>
          <t>REQ_SCI_2026_045, REQ_SCI_2026_046</t>
        </is>
      </c>
      <c r="F63" s="2" t="inlineStr">
        <is>
          <t>LO_13.1.1.1 — Apply Lindeman's 10% Energy Law to food chains and evaluate biological magnification.</t>
        </is>
      </c>
      <c r="G63" s="2" t="inlineStr">
        <is>
          <t>Ecosystem – What are its Components?</t>
        </is>
      </c>
      <c r="H63" s="2" t="inlineStr">
        <is>
          <t>Explain why food chains in nature usually consist of only three or four trophic levels.</t>
        </is>
      </c>
      <c r="I63" s="2" t="inlineStr">
        <is>
          <t>(constructed response)</t>
        </is>
      </c>
      <c r="J63" s="2" t="inlineStr">
        <is>
          <t>Because only about ten per cent of the energy is transferred at each step, too little energy remains to support further levels.</t>
        </is>
      </c>
      <c r="K63" s="2" t="inlineStr">
        <is>
          <t>The loss of energy as heat and in life processes at every transfer means the energy available shrinks rapidly, so beyond three or four levels there is not enough to sustain a population.</t>
        </is>
      </c>
      <c r="L63" s="2" t="n">
        <v>3</v>
      </c>
      <c r="M63" s="2" t="inlineStr">
        <is>
          <t>Science_SecP1_2026-27.pdf Page 8</t>
        </is>
      </c>
      <c r="N63" s="2" t="inlineStr">
        <is>
          <t>draft / unverified / REVIEW_PENDING</t>
        </is>
      </c>
      <c r="O63" s="3" t="inlineStr"/>
      <c r="P63" s="3" t="inlineStr"/>
      <c r="Q63" s="3" t="inlineStr"/>
      <c r="R63" s="3" t="inlineStr"/>
      <c r="S63" s="3" t="inlineStr"/>
      <c r="T63" s="3" t="inlineStr"/>
      <c r="U63" s="3" t="inlineStr"/>
    </row>
    <row r="64" ht="46" customHeight="1">
      <c r="A64" s="2" t="inlineStr">
        <is>
          <t>C10-2627-SCI-REQ045-DIAG-006</t>
        </is>
      </c>
      <c r="B64" s="2" t="inlineStr">
        <is>
          <t>Science</t>
        </is>
      </c>
      <c r="C64" s="2" t="inlineStr">
        <is>
          <t>Natural Resources</t>
        </is>
      </c>
      <c r="D64" s="2" t="inlineStr">
        <is>
          <t>Our Environment</t>
        </is>
      </c>
      <c r="E64" s="2" t="inlineStr">
        <is>
          <t>REQ_SCI_2026_045, REQ_SCI_2026_046</t>
        </is>
      </c>
      <c r="F64" s="2" t="inlineStr">
        <is>
          <t>LO_13.1.1.1 — Apply Lindeman's 10% Energy Law to food chains and evaluate biological magnification.</t>
        </is>
      </c>
      <c r="G64" s="2" t="inlineStr">
        <is>
          <t>Ecosystem – What are its Components?</t>
        </is>
      </c>
      <c r="H64" s="2" t="inlineStr">
        <is>
          <t>Assertion (A): The flow of energy in an ecosystem is unidirectional.
Reason (R): Energy enters as sunlight, passes through the trophic levels and is finally lost as heat.
Choose the correct option.</t>
        </is>
      </c>
      <c r="I64" s="2" t="inlineStr">
        <is>
          <t>A. Both A and R are true and R is the correct explanation of A.
B. Both A and R are true but R is not the correct explanation of A.
C. A is true but R is false.
D. A is false but R is true.</t>
        </is>
      </c>
      <c r="J64" s="2" t="inlineStr">
        <is>
          <t>Both A and R are true and R is the correct explanation of A.</t>
        </is>
      </c>
      <c r="K64" s="2" t="inlineStr">
        <is>
          <t>Energy is not returned to the sun, so it flows in one direction only, unlike nutrients which are recycled.</t>
        </is>
      </c>
      <c r="L64" s="2" t="n">
        <v>2</v>
      </c>
      <c r="M64" s="2" t="inlineStr">
        <is>
          <t>Science_SecP1_2026-27.pdf Page 8</t>
        </is>
      </c>
      <c r="N64" s="2" t="inlineStr">
        <is>
          <t>draft / unverified / REVIEW_PENDING</t>
        </is>
      </c>
      <c r="O64" s="3" t="inlineStr"/>
      <c r="P64" s="3" t="inlineStr"/>
      <c r="Q64" s="3" t="inlineStr"/>
      <c r="R64" s="3" t="inlineStr"/>
      <c r="S64" s="3" t="inlineStr"/>
      <c r="T64" s="3" t="inlineStr"/>
      <c r="U64" s="3" t="inlineStr"/>
    </row>
    <row r="65" ht="46" customHeight="1">
      <c r="A65" s="2" t="inlineStr">
        <is>
          <t>C10-2627-SCI-REQ045-DIAG-007</t>
        </is>
      </c>
      <c r="B65" s="2" t="inlineStr">
        <is>
          <t>Science</t>
        </is>
      </c>
      <c r="C65" s="2" t="inlineStr">
        <is>
          <t>Natural Resources</t>
        </is>
      </c>
      <c r="D65" s="2" t="inlineStr">
        <is>
          <t>Our Environment</t>
        </is>
      </c>
      <c r="E65" s="2" t="inlineStr">
        <is>
          <t>REQ_SCI_2026_045, REQ_SCI_2026_046</t>
        </is>
      </c>
      <c r="F65" s="2" t="inlineStr">
        <is>
          <t>LO_13.1.1.1 — Apply Lindeman's 10% Energy Law to food chains and evaluate biological magnification.</t>
        </is>
      </c>
      <c r="G65" s="2" t="inlineStr">
        <is>
          <t>Ecosystem – What are its Components?</t>
        </is>
      </c>
      <c r="H65" s="2" t="inlineStr">
        <is>
          <t>State whether the following is true or false, and justify in one line: Green plants occupy the first trophic level in a food chain.</t>
        </is>
      </c>
      <c r="I65" s="2" t="inlineStr">
        <is>
          <t>A. True
B. False</t>
        </is>
      </c>
      <c r="J65" s="2" t="inlineStr">
        <is>
          <t>True</t>
        </is>
      </c>
      <c r="K65" s="2" t="inlineStr">
        <is>
          <t>Green plants are producers that capture solar energy, so they form the first trophic level.</t>
        </is>
      </c>
      <c r="L65" s="2" t="n">
        <v>1</v>
      </c>
      <c r="M65" s="2" t="inlineStr">
        <is>
          <t>Science_SecP1_2026-27.pdf Page 8</t>
        </is>
      </c>
      <c r="N65" s="2" t="inlineStr">
        <is>
          <t>draft / unverified / REVIEW_PENDING</t>
        </is>
      </c>
      <c r="O65" s="3" t="inlineStr"/>
      <c r="P65" s="3" t="inlineStr"/>
      <c r="Q65" s="3" t="inlineStr"/>
      <c r="R65" s="3" t="inlineStr"/>
      <c r="S65" s="3" t="inlineStr"/>
      <c r="T65" s="3" t="inlineStr"/>
      <c r="U65" s="3" t="inlineStr"/>
    </row>
    <row r="66" ht="46" customHeight="1">
      <c r="A66" s="2" t="inlineStr">
        <is>
          <t>C10-2627-SCI-REQ045-REASS-001</t>
        </is>
      </c>
      <c r="B66" s="2" t="inlineStr">
        <is>
          <t>Science</t>
        </is>
      </c>
      <c r="C66" s="2" t="inlineStr">
        <is>
          <t>Natural Resources</t>
        </is>
      </c>
      <c r="D66" s="2" t="inlineStr">
        <is>
          <t>Our Environment</t>
        </is>
      </c>
      <c r="E66" s="2" t="inlineStr">
        <is>
          <t>REQ_SCI_2026_045, REQ_SCI_2026_046</t>
        </is>
      </c>
      <c r="F66" s="2" t="inlineStr">
        <is>
          <t>LO_13.1.1.1 — Apply Lindeman's 10% Energy Law to food chains and evaluate biological magnification.</t>
        </is>
      </c>
      <c r="G66" s="2" t="inlineStr">
        <is>
          <t>Ecosystem – What are its Components?</t>
        </is>
      </c>
      <c r="H66" s="2" t="inlineStr">
        <is>
          <t>The producers of a food chain trap 20000 J of solar energy. Using the ten per cent law, find the energy available to the fourth trophic level.</t>
        </is>
      </c>
      <c r="I66" s="2" t="inlineStr">
        <is>
          <t>(constructed response)</t>
        </is>
      </c>
      <c r="J66" s="2" t="inlineStr">
        <is>
          <t>20 J</t>
        </is>
      </c>
      <c r="K66" s="2" t="inlineStr">
        <is>
          <t>Each transfer retains one tenth, so the levels hold 20000 J, 2000 J, 200 J and 20 J respectively.</t>
        </is>
      </c>
      <c r="L66" s="2" t="n">
        <v>3</v>
      </c>
      <c r="M66" s="2" t="inlineStr">
        <is>
          <t>Science_SecP1_2026-27.pdf Page 8</t>
        </is>
      </c>
      <c r="N66" s="2" t="inlineStr">
        <is>
          <t>draft / unverified / REVIEW_PENDING</t>
        </is>
      </c>
      <c r="O66" s="3" t="inlineStr"/>
      <c r="P66" s="3" t="inlineStr"/>
      <c r="Q66" s="3" t="inlineStr"/>
      <c r="R66" s="3" t="inlineStr"/>
      <c r="S66" s="3" t="inlineStr"/>
      <c r="T66" s="3" t="inlineStr"/>
      <c r="U66" s="3" t="inlineStr"/>
    </row>
    <row r="67" ht="46" customHeight="1">
      <c r="A67" s="2" t="inlineStr">
        <is>
          <t>C10-2627-SCI-REQ045-REASS-002</t>
        </is>
      </c>
      <c r="B67" s="2" t="inlineStr">
        <is>
          <t>Science</t>
        </is>
      </c>
      <c r="C67" s="2" t="inlineStr">
        <is>
          <t>Natural Resources</t>
        </is>
      </c>
      <c r="D67" s="2" t="inlineStr">
        <is>
          <t>Our Environment</t>
        </is>
      </c>
      <c r="E67" s="2" t="inlineStr">
        <is>
          <t>REQ_SCI_2026_045, REQ_SCI_2026_046</t>
        </is>
      </c>
      <c r="F67" s="2" t="inlineStr">
        <is>
          <t>LO_13.1.1.1 — Apply Lindeman's 10% Energy Law to food chains and evaluate biological magnification.</t>
        </is>
      </c>
      <c r="G67" s="2" t="inlineStr">
        <is>
          <t>Ecosystem – What are its Components?</t>
        </is>
      </c>
      <c r="H67" s="2" t="inlineStr">
        <is>
          <t>Distinguish between a food chain and a food web in one sentence each, giving one advantage of a food web.</t>
        </is>
      </c>
      <c r="I67" s="2" t="inlineStr">
        <is>
          <t>(constructed response)</t>
        </is>
      </c>
      <c r="J67" s="2" t="inlineStr">
        <is>
          <t>A food chain is a single linear sequence of who eats whom, while a food web is the network of interconnected chains; the web gives an organism alternative food sources and so greater stability.</t>
        </is>
      </c>
      <c r="K67" s="2" t="inlineStr">
        <is>
          <t>In nature most organisms feed on more than one type of food, so the many chains interlink to form a web, which makes the ecosystem less vulnerable to the loss of a single species.</t>
        </is>
      </c>
      <c r="L67" s="2" t="n">
        <v>3</v>
      </c>
      <c r="M67" s="2" t="inlineStr">
        <is>
          <t>Science_SecP1_2026-27.pdf Page 8</t>
        </is>
      </c>
      <c r="N67" s="2" t="inlineStr">
        <is>
          <t>draft / unverified / REVIEW_PENDING</t>
        </is>
      </c>
      <c r="O67" s="3" t="inlineStr"/>
      <c r="P67" s="3" t="inlineStr"/>
      <c r="Q67" s="3" t="inlineStr"/>
      <c r="R67" s="3" t="inlineStr"/>
      <c r="S67" s="3" t="inlineStr"/>
      <c r="T67" s="3" t="inlineStr"/>
      <c r="U67" s="3" t="inlineStr"/>
    </row>
    <row r="68" ht="46" customHeight="1">
      <c r="A68" s="2" t="inlineStr">
        <is>
          <t>C10-2627-SCI-REQ045-REASS-003</t>
        </is>
      </c>
      <c r="B68" s="2" t="inlineStr">
        <is>
          <t>Science</t>
        </is>
      </c>
      <c r="C68" s="2" t="inlineStr">
        <is>
          <t>Natural Resources</t>
        </is>
      </c>
      <c r="D68" s="2" t="inlineStr">
        <is>
          <t>Our Environment</t>
        </is>
      </c>
      <c r="E68" s="2" t="inlineStr">
        <is>
          <t>REQ_SCI_2026_045, REQ_SCI_2026_046</t>
        </is>
      </c>
      <c r="F68" s="2" t="inlineStr">
        <is>
          <t>LO_13.1.1.1 — Apply Lindeman's 10% Energy Law to food chains and evaluate biological magnification.</t>
        </is>
      </c>
      <c r="G68" s="2" t="inlineStr">
        <is>
          <t>Ecosystem – What are its Components?</t>
        </is>
      </c>
      <c r="H68" s="2" t="inlineStr">
        <is>
          <t>In the food chain grass to grasshopper to frog to snake, the frog occupies the</t>
        </is>
      </c>
      <c r="I68" s="2" t="inlineStr">
        <is>
          <t>A. second trophic level
B. fourth trophic level
C. third trophic level
D. first trophic level</t>
        </is>
      </c>
      <c r="J68" s="2" t="inlineStr">
        <is>
          <t>third trophic level</t>
        </is>
      </c>
      <c r="K68" s="2" t="inlineStr">
        <is>
          <t>Grass is the first level, the grasshopper the second and the frog the third.</t>
        </is>
      </c>
      <c r="L68" s="2" t="n">
        <v>2</v>
      </c>
      <c r="M68" s="2" t="inlineStr">
        <is>
          <t>Science_SecP1_2026-27.pdf Page 8</t>
        </is>
      </c>
      <c r="N68" s="2" t="inlineStr">
        <is>
          <t>draft / unverified / REVIEW_PENDING</t>
        </is>
      </c>
      <c r="O68" s="3" t="inlineStr"/>
      <c r="P68" s="3" t="inlineStr"/>
      <c r="Q68" s="3" t="inlineStr"/>
      <c r="R68" s="3" t="inlineStr"/>
      <c r="S68" s="3" t="inlineStr"/>
      <c r="T68" s="3" t="inlineStr"/>
      <c r="U68" s="3" t="inlineStr"/>
    </row>
    <row r="69" ht="46" customHeight="1">
      <c r="A69" s="2" t="inlineStr">
        <is>
          <t>C10-2627-SCI-REQ045-REASS-004</t>
        </is>
      </c>
      <c r="B69" s="2" t="inlineStr">
        <is>
          <t>Science</t>
        </is>
      </c>
      <c r="C69" s="2" t="inlineStr">
        <is>
          <t>Natural Resources</t>
        </is>
      </c>
      <c r="D69" s="2" t="inlineStr">
        <is>
          <t>Our Environment</t>
        </is>
      </c>
      <c r="E69" s="2" t="inlineStr">
        <is>
          <t>REQ_SCI_2026_045, REQ_SCI_2026_046</t>
        </is>
      </c>
      <c r="F69" s="2" t="inlineStr">
        <is>
          <t>LO_13.1.1.1 — Apply Lindeman's 10% Energy Law to food chains and evaluate biological magnification.</t>
        </is>
      </c>
      <c r="G69" s="2" t="inlineStr">
        <is>
          <t>Ecosystem – What are its Components?</t>
        </is>
      </c>
      <c r="H69" s="2" t="inlineStr">
        <is>
          <t>A pond receives a discharge containing a non-biodegradable heavy metal. Concentrations are measured as 0.02 parts per million in the water, 0.5 in small fish and 8 in the birds that eat those fish.
Which trophic level is at greatest risk, and what property of the pollutant explains the pattern?</t>
        </is>
      </c>
      <c r="I69" s="2" t="inlineStr">
        <is>
          <t>(constructed response)</t>
        </is>
      </c>
      <c r="J69" s="2" t="inlineStr">
        <is>
          <t>The birds, because the pollutant is non-biodegradable and undergoes biological magnification.</t>
        </is>
      </c>
      <c r="K69" s="2" t="inlineStr">
        <is>
          <t>The pollutant cannot be broken down or excreted, so it accumulates in tissues and its concentration increases sharply at each higher level, leaving the top consumers most affected.</t>
        </is>
      </c>
      <c r="L69" s="2" t="n">
        <v>4</v>
      </c>
      <c r="M69" s="2" t="inlineStr">
        <is>
          <t>Science_SecP1_2026-27.pdf Page 8</t>
        </is>
      </c>
      <c r="N69" s="2" t="inlineStr">
        <is>
          <t>draft / unverified / REVIEW_PENDING</t>
        </is>
      </c>
      <c r="O69" s="3" t="inlineStr"/>
      <c r="P69" s="3" t="inlineStr"/>
      <c r="Q69" s="3" t="inlineStr"/>
      <c r="R69" s="3" t="inlineStr"/>
      <c r="S69" s="3" t="inlineStr"/>
      <c r="T69" s="3" t="inlineStr"/>
      <c r="U69" s="3" t="inlineStr"/>
    </row>
    <row r="70" ht="46" customHeight="1">
      <c r="A70" s="2" t="inlineStr">
        <is>
          <t>C10-2627-SCI-REQ045-REASS-005</t>
        </is>
      </c>
      <c r="B70" s="2" t="inlineStr">
        <is>
          <t>Science</t>
        </is>
      </c>
      <c r="C70" s="2" t="inlineStr">
        <is>
          <t>Natural Resources</t>
        </is>
      </c>
      <c r="D70" s="2" t="inlineStr">
        <is>
          <t>Our Environment</t>
        </is>
      </c>
      <c r="E70" s="2" t="inlineStr">
        <is>
          <t>REQ_SCI_2026_045, REQ_SCI_2026_046</t>
        </is>
      </c>
      <c r="F70" s="2" t="inlineStr">
        <is>
          <t>LO_13.1.1.1 — Apply Lindeman's 10% Energy Law to food chains and evaluate biological magnification.</t>
        </is>
      </c>
      <c r="G70" s="2" t="inlineStr">
        <is>
          <t>Ecosystem – What are its Components?</t>
        </is>
      </c>
      <c r="H70" s="2" t="inlineStr">
        <is>
          <t>If 5000 J of energy is available at the second trophic level, how much reaches the fourth trophic level under the ten per cent law?</t>
        </is>
      </c>
      <c r="I70" s="2" t="inlineStr">
        <is>
          <t>(constructed response)</t>
        </is>
      </c>
      <c r="J70" s="2" t="inlineStr">
        <is>
          <t>50 J</t>
        </is>
      </c>
      <c r="K70" s="2" t="inlineStr">
        <is>
          <t>From the second to the third level 500 J is transferred, and from the third to the fourth 50 J.</t>
        </is>
      </c>
      <c r="L70" s="2" t="n">
        <v>3</v>
      </c>
      <c r="M70" s="2" t="inlineStr">
        <is>
          <t>Science_SecP1_2026-27.pdf Page 8</t>
        </is>
      </c>
      <c r="N70" s="2" t="inlineStr">
        <is>
          <t>draft / unverified / REVIEW_PENDING</t>
        </is>
      </c>
      <c r="O70" s="3" t="inlineStr"/>
      <c r="P70" s="3" t="inlineStr"/>
      <c r="Q70" s="3" t="inlineStr"/>
      <c r="R70" s="3" t="inlineStr"/>
      <c r="S70" s="3" t="inlineStr"/>
      <c r="T70" s="3" t="inlineStr"/>
      <c r="U70" s="3" t="inlineStr"/>
    </row>
    <row r="71" ht="46" customHeight="1">
      <c r="A71" s="2" t="inlineStr">
        <is>
          <t>C10-2627-SCI-REQ045-REASS-006</t>
        </is>
      </c>
      <c r="B71" s="2" t="inlineStr">
        <is>
          <t>Science</t>
        </is>
      </c>
      <c r="C71" s="2" t="inlineStr">
        <is>
          <t>Natural Resources</t>
        </is>
      </c>
      <c r="D71" s="2" t="inlineStr">
        <is>
          <t>Our Environment</t>
        </is>
      </c>
      <c r="E71" s="2" t="inlineStr">
        <is>
          <t>REQ_SCI_2026_045, REQ_SCI_2026_046</t>
        </is>
      </c>
      <c r="F71" s="2" t="inlineStr">
        <is>
          <t>LO_13.1.1.1 — Apply Lindeman's 10% Energy Law to food chains and evaluate biological magnification.</t>
        </is>
      </c>
      <c r="G71" s="2" t="inlineStr">
        <is>
          <t>Ecosystem – What are its Components?</t>
        </is>
      </c>
      <c r="H71" s="2" t="inlineStr">
        <is>
          <t>What would happen to an ecosystem if all its decomposers were removed?</t>
        </is>
      </c>
      <c r="I71" s="2" t="inlineStr">
        <is>
          <t>(constructed response)</t>
        </is>
      </c>
      <c r="J71" s="2" t="inlineStr">
        <is>
          <t>Dead remains and wastes would pile up and nutrients would not be returned to the soil, so producers would eventually fail.</t>
        </is>
      </c>
      <c r="K71" s="2" t="inlineStr">
        <is>
          <t>Decomposers recycle nutrients locked in dead organic matter. Without them the nutrient cycle breaks, the soil is not replenished and plant growth, and hence the whole ecosystem, collapses.</t>
        </is>
      </c>
      <c r="L71" s="2" t="n">
        <v>3</v>
      </c>
      <c r="M71" s="2" t="inlineStr">
        <is>
          <t>Science_SecP1_2026-27.pdf Page 8</t>
        </is>
      </c>
      <c r="N71" s="2" t="inlineStr">
        <is>
          <t>draft / unverified / REVIEW_PENDING</t>
        </is>
      </c>
      <c r="O71" s="3" t="inlineStr"/>
      <c r="P71" s="3" t="inlineStr"/>
      <c r="Q71" s="3" t="inlineStr"/>
      <c r="R71" s="3" t="inlineStr"/>
      <c r="S71" s="3" t="inlineStr"/>
      <c r="T71" s="3" t="inlineStr"/>
      <c r="U71" s="3" t="inlineStr"/>
    </row>
    <row r="72" ht="46" customHeight="1">
      <c r="A72" s="2" t="inlineStr">
        <is>
          <t>C10-2627-SCI-REQ045-REASS-007</t>
        </is>
      </c>
      <c r="B72" s="2" t="inlineStr">
        <is>
          <t>Science</t>
        </is>
      </c>
      <c r="C72" s="2" t="inlineStr">
        <is>
          <t>Natural Resources</t>
        </is>
      </c>
      <c r="D72" s="2" t="inlineStr">
        <is>
          <t>Our Environment</t>
        </is>
      </c>
      <c r="E72" s="2" t="inlineStr">
        <is>
          <t>REQ_SCI_2026_045, REQ_SCI_2026_046</t>
        </is>
      </c>
      <c r="F72" s="2" t="inlineStr">
        <is>
          <t>LO_13.1.1.1 — Apply Lindeman's 10% Energy Law to food chains and evaluate biological magnification.</t>
        </is>
      </c>
      <c r="G72" s="2" t="inlineStr">
        <is>
          <t>Ecosystem – What are its Components?</t>
        </is>
      </c>
      <c r="H72" s="2" t="inlineStr">
        <is>
          <t>Assertion (A): Nutrients, unlike energy, are cycled repeatedly through an ecosystem.
Reason (R): Decomposers return the elements locked in dead organisms to the abiotic environment.
Choose the correct option.</t>
        </is>
      </c>
      <c r="I72" s="2" t="inlineStr">
        <is>
          <t>A. Both A and R are true and R is the correct explanation of A.
B. Both A and R are true but R is not the correct explanation of A.
C. A is true but R is false.
D. A is false but R is true.</t>
        </is>
      </c>
      <c r="J72" s="2" t="inlineStr">
        <is>
          <t>Both A and R are true and R is the correct explanation of A.</t>
        </is>
      </c>
      <c r="K72" s="2" t="inlineStr">
        <is>
          <t>Because decomposition releases nutrients back into soil, water and air, the same atoms are used again by producers, while energy is lost as heat.</t>
        </is>
      </c>
      <c r="L72" s="2" t="n">
        <v>3</v>
      </c>
      <c r="M72" s="2" t="inlineStr">
        <is>
          <t>Science_SecP1_2026-27.pdf Page 8</t>
        </is>
      </c>
      <c r="N72" s="2" t="inlineStr">
        <is>
          <t>draft / unverified / REVIEW_PENDING</t>
        </is>
      </c>
      <c r="O72" s="3" t="inlineStr"/>
      <c r="P72" s="3" t="inlineStr"/>
      <c r="Q72" s="3" t="inlineStr"/>
      <c r="R72" s="3" t="inlineStr"/>
      <c r="S72" s="3" t="inlineStr"/>
      <c r="T72" s="3" t="inlineStr"/>
      <c r="U72" s="3" t="inlineStr"/>
    </row>
    <row r="73" ht="46" customHeight="1">
      <c r="A73" s="2" t="inlineStr">
        <is>
          <t>C10-2627-SCI-REQ045-REASS-008</t>
        </is>
      </c>
      <c r="B73" s="2" t="inlineStr">
        <is>
          <t>Science</t>
        </is>
      </c>
      <c r="C73" s="2" t="inlineStr">
        <is>
          <t>Natural Resources</t>
        </is>
      </c>
      <c r="D73" s="2" t="inlineStr">
        <is>
          <t>Our Environment</t>
        </is>
      </c>
      <c r="E73" s="2" t="inlineStr">
        <is>
          <t>REQ_SCI_2026_045, REQ_SCI_2026_046</t>
        </is>
      </c>
      <c r="F73" s="2" t="inlineStr">
        <is>
          <t>LO_13.1.1.1 — Apply Lindeman's 10% Energy Law to food chains and evaluate biological magnification.</t>
        </is>
      </c>
      <c r="G73" s="2" t="inlineStr">
        <is>
          <t>Ecosystem – What are its Components?</t>
        </is>
      </c>
      <c r="H73" s="2" t="inlineStr">
        <is>
          <t>State whether the following is true or false, and justify in one line: An organism can occupy more than one trophic level in a food web.</t>
        </is>
      </c>
      <c r="I73" s="2" t="inlineStr">
        <is>
          <t>A. True
B. False</t>
        </is>
      </c>
      <c r="J73" s="2" t="inlineStr">
        <is>
          <t>True</t>
        </is>
      </c>
      <c r="K73" s="2" t="inlineStr">
        <is>
          <t>An omnivore such as a human being can act as a primary consumer when eating plants and as a secondary consumer when eating animals.</t>
        </is>
      </c>
      <c r="L73" s="2" t="n">
        <v>2</v>
      </c>
      <c r="M73" s="2" t="inlineStr">
        <is>
          <t>Science_SecP1_2026-27.pdf Page 8</t>
        </is>
      </c>
      <c r="N73" s="2" t="inlineStr">
        <is>
          <t>draft / unverified / REVIEW_PENDING</t>
        </is>
      </c>
      <c r="O73" s="3" t="inlineStr"/>
      <c r="P73" s="3" t="inlineStr"/>
      <c r="Q73" s="3" t="inlineStr"/>
      <c r="R73" s="3" t="inlineStr"/>
      <c r="S73" s="3" t="inlineStr"/>
      <c r="T73" s="3" t="inlineStr"/>
      <c r="U73" s="3" t="inlineStr"/>
    </row>
    <row r="74" ht="46" customHeight="1">
      <c r="A74" s="2" t="inlineStr">
        <is>
          <t>C10-2627-SCI-REQ045-REASS-009</t>
        </is>
      </c>
      <c r="B74" s="2" t="inlineStr">
        <is>
          <t>Science</t>
        </is>
      </c>
      <c r="C74" s="2" t="inlineStr">
        <is>
          <t>Natural Resources</t>
        </is>
      </c>
      <c r="D74" s="2" t="inlineStr">
        <is>
          <t>Our Environment</t>
        </is>
      </c>
      <c r="E74" s="2" t="inlineStr">
        <is>
          <t>REQ_SCI_2026_045, REQ_SCI_2026_046</t>
        </is>
      </c>
      <c r="F74" s="2" t="inlineStr">
        <is>
          <t>LO_13.1.1.1 — Apply Lindeman's 10% Energy Law to food chains and evaluate biological magnification.</t>
        </is>
      </c>
      <c r="G74" s="2" t="inlineStr">
        <is>
          <t>Ecosystem – What are its Components?</t>
        </is>
      </c>
      <c r="H74" s="2" t="inlineStr">
        <is>
          <t>Which of the following is an artificial ecosystem?</t>
        </is>
      </c>
      <c r="I74" s="2" t="inlineStr">
        <is>
          <t>A. a forest
B. a lake
C. a grassland
D. an aquarium</t>
        </is>
      </c>
      <c r="J74" s="2" t="inlineStr">
        <is>
          <t>an aquarium</t>
        </is>
      </c>
      <c r="K74" s="2" t="inlineStr">
        <is>
          <t>An aquarium is created and maintained by human beings, whereas the others develop naturally.</t>
        </is>
      </c>
      <c r="L74" s="2" t="n">
        <v>2</v>
      </c>
      <c r="M74" s="2" t="inlineStr">
        <is>
          <t>Science_SecP1_2026-27.pdf Page 8</t>
        </is>
      </c>
      <c r="N74" s="2" t="inlineStr">
        <is>
          <t>draft / unverified / REVIEW_PENDING</t>
        </is>
      </c>
      <c r="O74" s="3" t="inlineStr"/>
      <c r="P74" s="3" t="inlineStr"/>
      <c r="Q74" s="3" t="inlineStr"/>
      <c r="R74" s="3" t="inlineStr"/>
      <c r="S74" s="3" t="inlineStr"/>
      <c r="T74" s="3" t="inlineStr"/>
      <c r="U74" s="3" t="inlineStr"/>
    </row>
    <row r="75" ht="46" customHeight="1">
      <c r="A75" s="2" t="inlineStr">
        <is>
          <t>C10-2627-SCI-REQ045-REASS-010</t>
        </is>
      </c>
      <c r="B75" s="2" t="inlineStr">
        <is>
          <t>Science</t>
        </is>
      </c>
      <c r="C75" s="2" t="inlineStr">
        <is>
          <t>Natural Resources</t>
        </is>
      </c>
      <c r="D75" s="2" t="inlineStr">
        <is>
          <t>Our Environment</t>
        </is>
      </c>
      <c r="E75" s="2" t="inlineStr">
        <is>
          <t>REQ_SCI_2026_045, REQ_SCI_2026_046</t>
        </is>
      </c>
      <c r="F75" s="2" t="inlineStr">
        <is>
          <t>LO_13.1.1.1 — Apply Lindeman's 10% Energy Law to food chains and evaluate biological magnification.</t>
        </is>
      </c>
      <c r="G75" s="2" t="inlineStr">
        <is>
          <t>Ecosystem – What are its Components?</t>
        </is>
      </c>
      <c r="H75" s="2" t="inlineStr">
        <is>
          <t>Energy measured at successive trophic levels of a grassland:
| Level | Energy |
| Producers | 40000 J |
| Primary consumers | 4000 J |
| Secondary consumers | 400 J |
What percentage of the producers' energy reaches the secondary consumers?</t>
        </is>
      </c>
      <c r="I75" s="2" t="inlineStr">
        <is>
          <t>(constructed response)</t>
        </is>
      </c>
      <c r="J75" s="2" t="inlineStr">
        <is>
          <t>1 per cent</t>
        </is>
      </c>
      <c r="K75" s="2" t="inlineStr">
        <is>
          <t>400 J out of 40000 J is one per cent, consistent with two successive ten per cent transfers.</t>
        </is>
      </c>
      <c r="L75" s="2" t="n">
        <v>3</v>
      </c>
      <c r="M75" s="2" t="inlineStr">
        <is>
          <t>Science_SecP1_2026-27.pdf Page 8</t>
        </is>
      </c>
      <c r="N75" s="2" t="inlineStr">
        <is>
          <t>draft / unverified / REVIEW_PENDING</t>
        </is>
      </c>
      <c r="O75" s="3" t="inlineStr"/>
      <c r="P75" s="3" t="inlineStr"/>
      <c r="Q75" s="3" t="inlineStr"/>
      <c r="R75" s="3" t="inlineStr"/>
      <c r="S75" s="3" t="inlineStr"/>
      <c r="T75" s="3" t="inlineStr"/>
      <c r="U75" s="3" t="inlineStr"/>
    </row>
    <row r="76" ht="46" customHeight="1">
      <c r="A76" s="2" t="inlineStr">
        <is>
          <t>C10-2627-SCI-REQ045-DIAG-008</t>
        </is>
      </c>
      <c r="B76" s="2" t="inlineStr">
        <is>
          <t>Science</t>
        </is>
      </c>
      <c r="C76" s="2" t="inlineStr">
        <is>
          <t>Natural Resources</t>
        </is>
      </c>
      <c r="D76" s="2" t="inlineStr">
        <is>
          <t>Our Environment</t>
        </is>
      </c>
      <c r="E76" s="2" t="inlineStr">
        <is>
          <t>REQ_SCI_2026_045, REQ_SCI_2026_046</t>
        </is>
      </c>
      <c r="F76" s="2" t="inlineStr">
        <is>
          <t>LO_13.2.1.1 — Explain ozone formation/CFC destruction and compare biodegradable vs non-biodegradable waste impacts.</t>
        </is>
      </c>
      <c r="G76" s="2" t="inlineStr">
        <is>
          <t>How do Our Activities Affect the Environment?</t>
        </is>
      </c>
      <c r="H76" s="2" t="inlineStr">
        <is>
          <t>Explain briefly how ozone is formed in the upper atmosphere and state why the ozone layer is important.</t>
        </is>
      </c>
      <c r="I76" s="2" t="inlineStr">
        <is>
          <t>(constructed response)</t>
        </is>
      </c>
      <c r="J76" s="2" t="inlineStr">
        <is>
          <t>High energy ultraviolet radiation splits oxygen molecules into free atoms which combine with oxygen molecules to form ozone; the layer shields living organisms from harmful ultraviolet radiation.</t>
        </is>
      </c>
      <c r="K76" s="2" t="inlineStr">
        <is>
          <t>Ultraviolet radiation dissociates O2 into atomic oxygen, and these atoms combine with further O2 molecules to give O3. The resulting layer absorbs most of the harmful ultraviolet radiation that would otherwise cause skin cancer and damage crops.</t>
        </is>
      </c>
      <c r="L76" s="2" t="n">
        <v>3</v>
      </c>
      <c r="M76" s="2" t="inlineStr">
        <is>
          <t>Science_SecP1_2026-27.pdf Page 8</t>
        </is>
      </c>
      <c r="N76" s="2" t="inlineStr">
        <is>
          <t>draft / unverified / REVIEW_PENDING</t>
        </is>
      </c>
      <c r="O76" s="3" t="inlineStr"/>
      <c r="P76" s="3" t="inlineStr"/>
      <c r="Q76" s="3" t="inlineStr"/>
      <c r="R76" s="3" t="inlineStr"/>
      <c r="S76" s="3" t="inlineStr"/>
      <c r="T76" s="3" t="inlineStr"/>
      <c r="U76" s="3" t="inlineStr"/>
    </row>
    <row r="77" ht="46" customHeight="1">
      <c r="A77" s="2" t="inlineStr">
        <is>
          <t>C10-2627-SCI-REQ045-DIAG-009</t>
        </is>
      </c>
      <c r="B77" s="2" t="inlineStr">
        <is>
          <t>Science</t>
        </is>
      </c>
      <c r="C77" s="2" t="inlineStr">
        <is>
          <t>Natural Resources</t>
        </is>
      </c>
      <c r="D77" s="2" t="inlineStr">
        <is>
          <t>Our Environment</t>
        </is>
      </c>
      <c r="E77" s="2" t="inlineStr">
        <is>
          <t>REQ_SCI_2026_045, REQ_SCI_2026_046</t>
        </is>
      </c>
      <c r="F77" s="2" t="inlineStr">
        <is>
          <t>LO_13.2.1.1 — Explain ozone formation/CFC destruction and compare biodegradable vs non-biodegradable waste impacts.</t>
        </is>
      </c>
      <c r="G77" s="2" t="inlineStr">
        <is>
          <t>How do Our Activities Affect the Environment?</t>
        </is>
      </c>
      <c r="H77" s="2" t="inlineStr">
        <is>
          <t>Name the class of synthetic chemicals chiefly responsible for depleting the ozone layer and state one common use that has now been restricted.</t>
        </is>
      </c>
      <c r="I77" s="2" t="inlineStr">
        <is>
          <t>(constructed response)</t>
        </is>
      </c>
      <c r="J77" s="2" t="inlineStr">
        <is>
          <t>Chlorofluorocarbons; they were widely used as refrigerants and as propellants in aerosol sprays.</t>
        </is>
      </c>
      <c r="K77" s="2" t="inlineStr">
        <is>
          <t>Chlorofluorocarbons are very stable and drift to the stratosphere, where ultraviolet radiation releases chlorine atoms that destroy ozone molecules. Their production has therefore been frozen and phased down internationally.</t>
        </is>
      </c>
      <c r="L77" s="2" t="n">
        <v>3</v>
      </c>
      <c r="M77" s="2" t="inlineStr">
        <is>
          <t>Science_SecP1_2026-27.pdf Page 8</t>
        </is>
      </c>
      <c r="N77" s="2" t="inlineStr">
        <is>
          <t>draft / unverified / REVIEW_PENDING</t>
        </is>
      </c>
      <c r="O77" s="3" t="inlineStr"/>
      <c r="P77" s="3" t="inlineStr"/>
      <c r="Q77" s="3" t="inlineStr"/>
      <c r="R77" s="3" t="inlineStr"/>
      <c r="S77" s="3" t="inlineStr"/>
      <c r="T77" s="3" t="inlineStr"/>
      <c r="U77" s="3" t="inlineStr"/>
    </row>
    <row r="78" ht="46" customHeight="1">
      <c r="A78" s="2" t="inlineStr">
        <is>
          <t>C10-2627-SCI-REQ045-DIAG-010</t>
        </is>
      </c>
      <c r="B78" s="2" t="inlineStr">
        <is>
          <t>Science</t>
        </is>
      </c>
      <c r="C78" s="2" t="inlineStr">
        <is>
          <t>Natural Resources</t>
        </is>
      </c>
      <c r="D78" s="2" t="inlineStr">
        <is>
          <t>Our Environment</t>
        </is>
      </c>
      <c r="E78" s="2" t="inlineStr">
        <is>
          <t>REQ_SCI_2026_045, REQ_SCI_2026_046</t>
        </is>
      </c>
      <c r="F78" s="2" t="inlineStr">
        <is>
          <t>LO_13.2.1.1 — Explain ozone formation/CFC destruction and compare biodegradable vs non-biodegradable waste impacts.</t>
        </is>
      </c>
      <c r="G78" s="2" t="inlineStr">
        <is>
          <t>How do Our Activities Affect the Environment?</t>
        </is>
      </c>
      <c r="H78" s="2" t="inlineStr">
        <is>
          <t>Which of the following is a biodegradable waste?</t>
        </is>
      </c>
      <c r="I78" s="2" t="inlineStr">
        <is>
          <t>A. glass bottle
B. vegetable peel
C. polythene bag
D. aluminium can</t>
        </is>
      </c>
      <c r="J78" s="2" t="inlineStr">
        <is>
          <t>vegetable peel</t>
        </is>
      </c>
      <c r="K78" s="2" t="inlineStr">
        <is>
          <t>Vegetable peel is broken down by the action of microorganisms, while the other items are not.</t>
        </is>
      </c>
      <c r="L78" s="2" t="n">
        <v>1</v>
      </c>
      <c r="M78" s="2" t="inlineStr">
        <is>
          <t>Science_SecP1_2026-27.pdf Page 8</t>
        </is>
      </c>
      <c r="N78" s="2" t="inlineStr">
        <is>
          <t>draft / unverified / REVIEW_PENDING</t>
        </is>
      </c>
      <c r="O78" s="3" t="inlineStr"/>
      <c r="P78" s="3" t="inlineStr"/>
      <c r="Q78" s="3" t="inlineStr"/>
      <c r="R78" s="3" t="inlineStr"/>
      <c r="S78" s="3" t="inlineStr"/>
      <c r="T78" s="3" t="inlineStr"/>
      <c r="U78" s="3" t="inlineStr"/>
    </row>
    <row r="79" ht="46" customHeight="1">
      <c r="A79" s="2" t="inlineStr">
        <is>
          <t>C10-2627-SCI-REQ045-DIAG-011</t>
        </is>
      </c>
      <c r="B79" s="2" t="inlineStr">
        <is>
          <t>Science</t>
        </is>
      </c>
      <c r="C79" s="2" t="inlineStr">
        <is>
          <t>Natural Resources</t>
        </is>
      </c>
      <c r="D79" s="2" t="inlineStr">
        <is>
          <t>Our Environment</t>
        </is>
      </c>
      <c r="E79" s="2" t="inlineStr">
        <is>
          <t>REQ_SCI_2026_045, REQ_SCI_2026_046</t>
        </is>
      </c>
      <c r="F79" s="2" t="inlineStr">
        <is>
          <t>LO_13.2.1.1 — Explain ozone formation/CFC destruction and compare biodegradable vs non-biodegradable waste impacts.</t>
        </is>
      </c>
      <c r="G79" s="2" t="inlineStr">
        <is>
          <t>How do Our Activities Affect the Environment?</t>
        </is>
      </c>
      <c r="H79" s="2" t="inlineStr">
        <is>
          <t>A residential colony collects all its household waste in a single bin and sends it to a landfill. Residents notice a persistent stench and choked drains.
Suggest one practical change in waste handling and explain how it helps.</t>
        </is>
      </c>
      <c r="I79" s="2" t="inlineStr">
        <is>
          <t>(constructed response)</t>
        </is>
      </c>
      <c r="J79" s="2" t="inlineStr">
        <is>
          <t>Segregate the waste into biodegradable and non-biodegradable fractions; the biodegradable part can be composted while the rest is recycled, reducing the load on the landfill.</t>
        </is>
      </c>
      <c r="K79" s="2" t="inlineStr">
        <is>
          <t>Separating the waste at source allows kitchen waste to be turned into compost and plastics, metals and glass to be sent for recycling, so far less material rots in the landfill and drains stay clear.</t>
        </is>
      </c>
      <c r="L79" s="2" t="n">
        <v>3</v>
      </c>
      <c r="M79" s="2" t="inlineStr">
        <is>
          <t>Science_SecP1_2026-27.pdf Page 8</t>
        </is>
      </c>
      <c r="N79" s="2" t="inlineStr">
        <is>
          <t>draft / unverified / REVIEW_PENDING</t>
        </is>
      </c>
      <c r="O79" s="3" t="inlineStr"/>
      <c r="P79" s="3" t="inlineStr"/>
      <c r="Q79" s="3" t="inlineStr"/>
      <c r="R79" s="3" t="inlineStr"/>
      <c r="S79" s="3" t="inlineStr"/>
      <c r="T79" s="3" t="inlineStr"/>
      <c r="U79" s="3" t="inlineStr"/>
    </row>
    <row r="80" ht="46" customHeight="1">
      <c r="A80" s="2" t="inlineStr">
        <is>
          <t>C10-2627-SCI-REQ045-DIAG-012</t>
        </is>
      </c>
      <c r="B80" s="2" t="inlineStr">
        <is>
          <t>Science</t>
        </is>
      </c>
      <c r="C80" s="2" t="inlineStr">
        <is>
          <t>Natural Resources</t>
        </is>
      </c>
      <c r="D80" s="2" t="inlineStr">
        <is>
          <t>Our Environment</t>
        </is>
      </c>
      <c r="E80" s="2" t="inlineStr">
        <is>
          <t>REQ_SCI_2026_045, REQ_SCI_2026_046</t>
        </is>
      </c>
      <c r="F80" s="2" t="inlineStr">
        <is>
          <t>LO_13.2.1.1 — Explain ozone formation/CFC destruction and compare biodegradable vs non-biodegradable waste impacts.</t>
        </is>
      </c>
      <c r="G80" s="2" t="inlineStr">
        <is>
          <t>How do Our Activities Affect the Environment?</t>
        </is>
      </c>
      <c r="H80" s="2" t="inlineStr">
        <is>
          <t>State two harmful effects of accumulating non-biodegradable waste in the environment.</t>
        </is>
      </c>
      <c r="I80" s="2" t="inlineStr">
        <is>
          <t>(constructed response)</t>
        </is>
      </c>
      <c r="J80" s="2" t="inlineStr">
        <is>
          <t>It persists for a very long time and enters food chains causing biological magnification, and it chokes drains and soil, harming animals that ingest it.</t>
        </is>
      </c>
      <c r="K80" s="2" t="inlineStr">
        <is>
          <t>Because microorganisms cannot break these materials down, they remain in the soil and water for decades, block drainage, injure or kill animals that swallow them, and pass along food chains where their concentration increases.</t>
        </is>
      </c>
      <c r="L80" s="2" t="n">
        <v>3</v>
      </c>
      <c r="M80" s="2" t="inlineStr">
        <is>
          <t>Science_SecP1_2026-27.pdf Page 8</t>
        </is>
      </c>
      <c r="N80" s="2" t="inlineStr">
        <is>
          <t>draft / unverified / REVIEW_PENDING</t>
        </is>
      </c>
      <c r="O80" s="3" t="inlineStr"/>
      <c r="P80" s="3" t="inlineStr"/>
      <c r="Q80" s="3" t="inlineStr"/>
      <c r="R80" s="3" t="inlineStr"/>
      <c r="S80" s="3" t="inlineStr"/>
      <c r="T80" s="3" t="inlineStr"/>
      <c r="U80" s="3" t="inlineStr"/>
    </row>
    <row r="81" ht="46" customHeight="1">
      <c r="A81" s="2" t="inlineStr">
        <is>
          <t>C10-2627-SCI-REQ045-DIAG-013</t>
        </is>
      </c>
      <c r="B81" s="2" t="inlineStr">
        <is>
          <t>Science</t>
        </is>
      </c>
      <c r="C81" s="2" t="inlineStr">
        <is>
          <t>Natural Resources</t>
        </is>
      </c>
      <c r="D81" s="2" t="inlineStr">
        <is>
          <t>Our Environment</t>
        </is>
      </c>
      <c r="E81" s="2" t="inlineStr">
        <is>
          <t>REQ_SCI_2026_045, REQ_SCI_2026_046</t>
        </is>
      </c>
      <c r="F81" s="2" t="inlineStr">
        <is>
          <t>LO_13.2.1.1 — Explain ozone formation/CFC destruction and compare biodegradable vs non-biodegradable waste impacts.</t>
        </is>
      </c>
      <c r="G81" s="2" t="inlineStr">
        <is>
          <t>How do Our Activities Affect the Environment?</t>
        </is>
      </c>
      <c r="H81" s="2" t="inlineStr">
        <is>
          <t>Assertion (A): The use of chlorofluorocarbons has been restricted worldwide.
Reason (R): Chlorofluorocarbons release chlorine atoms in the stratosphere that break down ozone molecules.
Choose the correct option.</t>
        </is>
      </c>
      <c r="I81" s="2" t="inlineStr">
        <is>
          <t>A. Both A and R are true and R is the correct explanation of A.
B. Both A and R are true but R is not the correct explanation of A.
C. A is true but R is false.
D. A is false but R is true.</t>
        </is>
      </c>
      <c r="J81" s="2" t="inlineStr">
        <is>
          <t>Both A and R are true and R is the correct explanation of A.</t>
        </is>
      </c>
      <c r="K81" s="2" t="inlineStr">
        <is>
          <t>Because a single chlorine atom can destroy many ozone molecules, restricting these compounds is the direct means of protecting the ozone layer.</t>
        </is>
      </c>
      <c r="L81" s="2" t="n">
        <v>3</v>
      </c>
      <c r="M81" s="2" t="inlineStr">
        <is>
          <t>Science_SecP1_2026-27.pdf Page 8</t>
        </is>
      </c>
      <c r="N81" s="2" t="inlineStr">
        <is>
          <t>draft / unverified / REVIEW_PENDING</t>
        </is>
      </c>
      <c r="O81" s="3" t="inlineStr"/>
      <c r="P81" s="3" t="inlineStr"/>
      <c r="Q81" s="3" t="inlineStr"/>
      <c r="R81" s="3" t="inlineStr"/>
      <c r="S81" s="3" t="inlineStr"/>
      <c r="T81" s="3" t="inlineStr"/>
      <c r="U81" s="3" t="inlineStr"/>
    </row>
    <row r="82" ht="46" customHeight="1">
      <c r="A82" s="2" t="inlineStr">
        <is>
          <t>C10-2627-SCI-REQ045-DIAG-014</t>
        </is>
      </c>
      <c r="B82" s="2" t="inlineStr">
        <is>
          <t>Science</t>
        </is>
      </c>
      <c r="C82" s="2" t="inlineStr">
        <is>
          <t>Natural Resources</t>
        </is>
      </c>
      <c r="D82" s="2" t="inlineStr">
        <is>
          <t>Our Environment</t>
        </is>
      </c>
      <c r="E82" s="2" t="inlineStr">
        <is>
          <t>REQ_SCI_2026_045, REQ_SCI_2026_046</t>
        </is>
      </c>
      <c r="F82" s="2" t="inlineStr">
        <is>
          <t>LO_13.2.1.1 — Explain ozone formation/CFC destruction and compare biodegradable vs non-biodegradable waste impacts.</t>
        </is>
      </c>
      <c r="G82" s="2" t="inlineStr">
        <is>
          <t>How do Our Activities Affect the Environment?</t>
        </is>
      </c>
      <c r="H82" s="2" t="inlineStr">
        <is>
          <t>State whether the following is true or false, and justify in one line: Ozone at ground level is beneficial to human health in the same way as stratospheric ozone.</t>
        </is>
      </c>
      <c r="I82" s="2" t="inlineStr">
        <is>
          <t>A. True
B. False</t>
        </is>
      </c>
      <c r="J82" s="2" t="inlineStr">
        <is>
          <t>False</t>
        </is>
      </c>
      <c r="K82" s="2" t="inlineStr">
        <is>
          <t>Ozone in the stratosphere shields us from ultraviolet radiation, but at ground level it is a harmful pollutant that irritates the lungs.</t>
        </is>
      </c>
      <c r="L82" s="2" t="n">
        <v>2</v>
      </c>
      <c r="M82" s="2" t="inlineStr">
        <is>
          <t>Science_SecP1_2026-27.pdf Page 8</t>
        </is>
      </c>
      <c r="N82" s="2" t="inlineStr">
        <is>
          <t>draft / unverified / REVIEW_PENDING</t>
        </is>
      </c>
      <c r="O82" s="3" t="inlineStr"/>
      <c r="P82" s="3" t="inlineStr"/>
      <c r="Q82" s="3" t="inlineStr"/>
      <c r="R82" s="3" t="inlineStr"/>
      <c r="S82" s="3" t="inlineStr"/>
      <c r="T82" s="3" t="inlineStr"/>
      <c r="U82" s="3" t="inlineStr"/>
    </row>
    <row r="83" ht="46" customHeight="1">
      <c r="A83" s="2" t="inlineStr">
        <is>
          <t>C10-2627-SCI-REQ045-REASS-011</t>
        </is>
      </c>
      <c r="B83" s="2" t="inlineStr">
        <is>
          <t>Science</t>
        </is>
      </c>
      <c r="C83" s="2" t="inlineStr">
        <is>
          <t>Natural Resources</t>
        </is>
      </c>
      <c r="D83" s="2" t="inlineStr">
        <is>
          <t>Our Environment</t>
        </is>
      </c>
      <c r="E83" s="2" t="inlineStr">
        <is>
          <t>REQ_SCI_2026_045, REQ_SCI_2026_046</t>
        </is>
      </c>
      <c r="F83" s="2" t="inlineStr">
        <is>
          <t>LO_13.2.1.1 — Explain ozone formation/CFC destruction and compare biodegradable vs non-biodegradable waste impacts.</t>
        </is>
      </c>
      <c r="G83" s="2" t="inlineStr">
        <is>
          <t>How do Our Activities Affect the Environment?</t>
        </is>
      </c>
      <c r="H83" s="2" t="inlineStr">
        <is>
          <t>Explain how a chlorine atom released from a chlorofluorocarbon molecule destroys ozone, and why the damage is out of proportion to the amount released.</t>
        </is>
      </c>
      <c r="I83" s="2" t="inlineStr">
        <is>
          <t>(constructed response)</t>
        </is>
      </c>
      <c r="J83" s="2" t="inlineStr">
        <is>
          <t>The chlorine atom reacts with ozone to form chlorine monoxide and oxygen, and is regenerated afterwards, so one atom destroys very many ozone molecules.</t>
        </is>
      </c>
      <c r="K83" s="2" t="inlineStr">
        <is>
          <t>Because the chlorine atom acts as a catalyst and is not consumed, it takes part in the destruction cycle repeatedly, so even small quantities of chlorofluorocarbons cause extensive depletion.</t>
        </is>
      </c>
      <c r="L83" s="2" t="n">
        <v>3</v>
      </c>
      <c r="M83" s="2" t="inlineStr">
        <is>
          <t>Science_SecP1_2026-27.pdf Page 8</t>
        </is>
      </c>
      <c r="N83" s="2" t="inlineStr">
        <is>
          <t>draft / unverified / REVIEW_PENDING</t>
        </is>
      </c>
      <c r="O83" s="3" t="inlineStr"/>
      <c r="P83" s="3" t="inlineStr"/>
      <c r="Q83" s="3" t="inlineStr"/>
      <c r="R83" s="3" t="inlineStr"/>
      <c r="S83" s="3" t="inlineStr"/>
      <c r="T83" s="3" t="inlineStr"/>
      <c r="U83" s="3" t="inlineStr"/>
    </row>
    <row r="84" ht="46" customHeight="1">
      <c r="A84" s="2" t="inlineStr">
        <is>
          <t>C10-2627-SCI-REQ045-REASS-012</t>
        </is>
      </c>
      <c r="B84" s="2" t="inlineStr">
        <is>
          <t>Science</t>
        </is>
      </c>
      <c r="C84" s="2" t="inlineStr">
        <is>
          <t>Natural Resources</t>
        </is>
      </c>
      <c r="D84" s="2" t="inlineStr">
        <is>
          <t>Our Environment</t>
        </is>
      </c>
      <c r="E84" s="2" t="inlineStr">
        <is>
          <t>REQ_SCI_2026_045, REQ_SCI_2026_046</t>
        </is>
      </c>
      <c r="F84" s="2" t="inlineStr">
        <is>
          <t>LO_13.2.1.1 — Explain ozone formation/CFC destruction and compare biodegradable vs non-biodegradable waste impacts.</t>
        </is>
      </c>
      <c r="G84" s="2" t="inlineStr">
        <is>
          <t>How do Our Activities Affect the Environment?</t>
        </is>
      </c>
      <c r="H84" s="2" t="inlineStr">
        <is>
          <t>Classify the following as biodegradable or non-biodegradable: paper, polythene, cow dung, aluminium foil.</t>
        </is>
      </c>
      <c r="I84" s="2" t="inlineStr">
        <is>
          <t>(constructed response)</t>
        </is>
      </c>
      <c r="J84" s="2" t="inlineStr">
        <is>
          <t>Biodegradable: paper and cow dung. Non-biodegradable: polythene and aluminium foil.</t>
        </is>
      </c>
      <c r="K84" s="2" t="inlineStr">
        <is>
          <t>Paper and cow dung are of organic origin and are broken down by microorganisms, while polythene and aluminium foil resist microbial action.</t>
        </is>
      </c>
      <c r="L84" s="2" t="n">
        <v>2</v>
      </c>
      <c r="M84" s="2" t="inlineStr">
        <is>
          <t>Science_SecP1_2026-27.pdf Page 8</t>
        </is>
      </c>
      <c r="N84" s="2" t="inlineStr">
        <is>
          <t>draft / unverified / REVIEW_PENDING</t>
        </is>
      </c>
      <c r="O84" s="3" t="inlineStr"/>
      <c r="P84" s="3" t="inlineStr"/>
      <c r="Q84" s="3" t="inlineStr"/>
      <c r="R84" s="3" t="inlineStr"/>
      <c r="S84" s="3" t="inlineStr"/>
      <c r="T84" s="3" t="inlineStr"/>
      <c r="U84" s="3" t="inlineStr"/>
    </row>
    <row r="85" ht="46" customHeight="1">
      <c r="A85" s="2" t="inlineStr">
        <is>
          <t>C10-2627-SCI-REQ045-REASS-013</t>
        </is>
      </c>
      <c r="B85" s="2" t="inlineStr">
        <is>
          <t>Science</t>
        </is>
      </c>
      <c r="C85" s="2" t="inlineStr">
        <is>
          <t>Natural Resources</t>
        </is>
      </c>
      <c r="D85" s="2" t="inlineStr">
        <is>
          <t>Our Environment</t>
        </is>
      </c>
      <c r="E85" s="2" t="inlineStr">
        <is>
          <t>REQ_SCI_2026_045, REQ_SCI_2026_046</t>
        </is>
      </c>
      <c r="F85" s="2" t="inlineStr">
        <is>
          <t>LO_13.2.1.1 — Explain ozone formation/CFC destruction and compare biodegradable vs non-biodegradable waste impacts.</t>
        </is>
      </c>
      <c r="G85" s="2" t="inlineStr">
        <is>
          <t>How do Our Activities Affect the Environment?</t>
        </is>
      </c>
      <c r="H85" s="2" t="inlineStr">
        <is>
          <t>Depletion of the ozone layer chiefly increases the risk of</t>
        </is>
      </c>
      <c r="I85" s="2" t="inlineStr">
        <is>
          <t>A. depletion of groundwater
B. skin cancer and cataract in human beings
C. earthquakes
D. acid rain from sulphur dioxide</t>
        </is>
      </c>
      <c r="J85" s="2" t="inlineStr">
        <is>
          <t>skin cancer and cataract in human beings</t>
        </is>
      </c>
      <c r="K85" s="2" t="inlineStr">
        <is>
          <t>More ultraviolet radiation reaches the ground, and prolonged exposure damages skin and eyes.</t>
        </is>
      </c>
      <c r="L85" s="2" t="n">
        <v>2</v>
      </c>
      <c r="M85" s="2" t="inlineStr">
        <is>
          <t>Science_SecP1_2026-27.pdf Page 8</t>
        </is>
      </c>
      <c r="N85" s="2" t="inlineStr">
        <is>
          <t>draft / unverified / REVIEW_PENDING</t>
        </is>
      </c>
      <c r="O85" s="3" t="inlineStr"/>
      <c r="P85" s="3" t="inlineStr"/>
      <c r="Q85" s="3" t="inlineStr"/>
      <c r="R85" s="3" t="inlineStr"/>
      <c r="S85" s="3" t="inlineStr"/>
      <c r="T85" s="3" t="inlineStr"/>
      <c r="U85" s="3" t="inlineStr"/>
    </row>
    <row r="86" ht="46" customHeight="1">
      <c r="A86" s="2" t="inlineStr">
        <is>
          <t>C10-2627-SCI-REQ045-REASS-014</t>
        </is>
      </c>
      <c r="B86" s="2" t="inlineStr">
        <is>
          <t>Science</t>
        </is>
      </c>
      <c r="C86" s="2" t="inlineStr">
        <is>
          <t>Natural Resources</t>
        </is>
      </c>
      <c r="D86" s="2" t="inlineStr">
        <is>
          <t>Our Environment</t>
        </is>
      </c>
      <c r="E86" s="2" t="inlineStr">
        <is>
          <t>REQ_SCI_2026_045, REQ_SCI_2026_046</t>
        </is>
      </c>
      <c r="F86" s="2" t="inlineStr">
        <is>
          <t>LO_13.2.1.1 — Explain ozone formation/CFC destruction and compare biodegradable vs non-biodegradable waste impacts.</t>
        </is>
      </c>
      <c r="G86" s="2" t="inlineStr">
        <is>
          <t>How do Our Activities Affect the Environment?</t>
        </is>
      </c>
      <c r="H86" s="2" t="inlineStr">
        <is>
          <t>A school starts a composting pit for its canteen waste and sends only dry waste to the municipal collection.
State two environmental benefits of this practice.</t>
        </is>
      </c>
      <c r="I86" s="2" t="inlineStr">
        <is>
          <t>(constructed response)</t>
        </is>
      </c>
      <c r="J86" s="2" t="inlineStr">
        <is>
          <t>It reduces the volume of waste going to landfill and produces manure that returns nutrients to the soil.</t>
        </is>
      </c>
      <c r="K86" s="2" t="inlineStr">
        <is>
          <t>Composting converts biodegradable waste into useful manure on site, cutting transport and landfill load while recycling nutrients back into the soil instead of losing them.</t>
        </is>
      </c>
      <c r="L86" s="2" t="n">
        <v>3</v>
      </c>
      <c r="M86" s="2" t="inlineStr">
        <is>
          <t>Science_SecP1_2026-27.pdf Page 8</t>
        </is>
      </c>
      <c r="N86" s="2" t="inlineStr">
        <is>
          <t>draft / unverified / REVIEW_PENDING</t>
        </is>
      </c>
      <c r="O86" s="3" t="inlineStr"/>
      <c r="P86" s="3" t="inlineStr"/>
      <c r="Q86" s="3" t="inlineStr"/>
      <c r="R86" s="3" t="inlineStr"/>
      <c r="S86" s="3" t="inlineStr"/>
      <c r="T86" s="3" t="inlineStr"/>
      <c r="U86" s="3" t="inlineStr"/>
    </row>
    <row r="87" ht="46" customHeight="1">
      <c r="A87" s="2" t="inlineStr">
        <is>
          <t>C10-2627-SCI-REQ045-REASS-015</t>
        </is>
      </c>
      <c r="B87" s="2" t="inlineStr">
        <is>
          <t>Science</t>
        </is>
      </c>
      <c r="C87" s="2" t="inlineStr">
        <is>
          <t>Natural Resources</t>
        </is>
      </c>
      <c r="D87" s="2" t="inlineStr">
        <is>
          <t>Our Environment</t>
        </is>
      </c>
      <c r="E87" s="2" t="inlineStr">
        <is>
          <t>REQ_SCI_2026_045, REQ_SCI_2026_046</t>
        </is>
      </c>
      <c r="F87" s="2" t="inlineStr">
        <is>
          <t>LO_13.2.1.1 — Explain ozone formation/CFC destruction and compare biodegradable vs non-biodegradable waste impacts.</t>
        </is>
      </c>
      <c r="G87" s="2" t="inlineStr">
        <is>
          <t>How do Our Activities Affect the Environment?</t>
        </is>
      </c>
      <c r="H87" s="2" t="inlineStr">
        <is>
          <t>Why is the widespread use of disposable plastic cutlery discouraged even though it is convenient?</t>
        </is>
      </c>
      <c r="I87" s="2" t="inlineStr">
        <is>
          <t>(constructed response)</t>
        </is>
      </c>
      <c r="J87" s="2" t="inlineStr">
        <is>
          <t>Because it is non-biodegradable, so it accumulates as long-lasting waste, harms animals and adds to landfill and drainage problems.</t>
        </is>
      </c>
      <c r="K87" s="2" t="inlineStr">
        <is>
          <t>Plastics are not broken down by microorganisms, so every item discarded persists for decades. They choke drains, are swallowed by animals and enter food chains, and the convenience is therefore outweighed by long-term environmental damage.</t>
        </is>
      </c>
      <c r="L87" s="2" t="n">
        <v>3</v>
      </c>
      <c r="M87" s="2" t="inlineStr">
        <is>
          <t>Science_SecP1_2026-27.pdf Page 8</t>
        </is>
      </c>
      <c r="N87" s="2" t="inlineStr">
        <is>
          <t>draft / unverified / REVIEW_PENDING</t>
        </is>
      </c>
      <c r="O87" s="3" t="inlineStr"/>
      <c r="P87" s="3" t="inlineStr"/>
      <c r="Q87" s="3" t="inlineStr"/>
      <c r="R87" s="3" t="inlineStr"/>
      <c r="S87" s="3" t="inlineStr"/>
      <c r="T87" s="3" t="inlineStr"/>
      <c r="U87" s="3" t="inlineStr"/>
    </row>
    <row r="88" ht="46" customHeight="1">
      <c r="A88" s="2" t="inlineStr">
        <is>
          <t>C10-2627-SCI-REQ045-REASS-016</t>
        </is>
      </c>
      <c r="B88" s="2" t="inlineStr">
        <is>
          <t>Science</t>
        </is>
      </c>
      <c r="C88" s="2" t="inlineStr">
        <is>
          <t>Natural Resources</t>
        </is>
      </c>
      <c r="D88" s="2" t="inlineStr">
        <is>
          <t>Our Environment</t>
        </is>
      </c>
      <c r="E88" s="2" t="inlineStr">
        <is>
          <t>REQ_SCI_2026_045, REQ_SCI_2026_046</t>
        </is>
      </c>
      <c r="F88" s="2" t="inlineStr">
        <is>
          <t>LO_13.2.1.1 — Explain ozone formation/CFC destruction and compare biodegradable vs non-biodegradable waste impacts.</t>
        </is>
      </c>
      <c r="G88" s="2" t="inlineStr">
        <is>
          <t>How do Our Activities Affect the Environment?</t>
        </is>
      </c>
      <c r="H88" s="2" t="inlineStr">
        <is>
          <t>Assertion (A): Non-biodegradable pesticides are a greater long-term hazard than biodegradable ones.
Reason (R): Substances that microorganisms cannot break down accumulate in the tissues of organisms along a food chain.
Choose the correct option.</t>
        </is>
      </c>
      <c r="I88" s="2" t="inlineStr">
        <is>
          <t>A. Both A and R are true and R is the correct explanation of A.
B. Both A and R are true but R is not the correct explanation of A.
C. A is true but R is false.
D. A is false but R is true.</t>
        </is>
      </c>
      <c r="J88" s="2" t="inlineStr">
        <is>
          <t>Both A and R are true and R is the correct explanation of A.</t>
        </is>
      </c>
      <c r="K88" s="2" t="inlineStr">
        <is>
          <t>Persistence leads to biological magnification, so the concentration builds up at each trophic level and the top consumers suffer most.</t>
        </is>
      </c>
      <c r="L88" s="2" t="n">
        <v>3</v>
      </c>
      <c r="M88" s="2" t="inlineStr">
        <is>
          <t>Science_SecP1_2026-27.pdf Page 8</t>
        </is>
      </c>
      <c r="N88" s="2" t="inlineStr">
        <is>
          <t>draft / unverified / REVIEW_PENDING</t>
        </is>
      </c>
      <c r="O88" s="3" t="inlineStr"/>
      <c r="P88" s="3" t="inlineStr"/>
      <c r="Q88" s="3" t="inlineStr"/>
      <c r="R88" s="3" t="inlineStr"/>
      <c r="S88" s="3" t="inlineStr"/>
      <c r="T88" s="3" t="inlineStr"/>
      <c r="U88" s="3" t="inlineStr"/>
    </row>
    <row r="89" ht="46" customHeight="1">
      <c r="A89" s="2" t="inlineStr">
        <is>
          <t>C10-2627-SCI-REQ045-REASS-017</t>
        </is>
      </c>
      <c r="B89" s="2" t="inlineStr">
        <is>
          <t>Science</t>
        </is>
      </c>
      <c r="C89" s="2" t="inlineStr">
        <is>
          <t>Natural Resources</t>
        </is>
      </c>
      <c r="D89" s="2" t="inlineStr">
        <is>
          <t>Our Environment</t>
        </is>
      </c>
      <c r="E89" s="2" t="inlineStr">
        <is>
          <t>REQ_SCI_2026_045, REQ_SCI_2026_046</t>
        </is>
      </c>
      <c r="F89" s="2" t="inlineStr">
        <is>
          <t>LO_13.2.1.1 — Explain ozone formation/CFC destruction and compare biodegradable vs non-biodegradable waste impacts.</t>
        </is>
      </c>
      <c r="G89" s="2" t="inlineStr">
        <is>
          <t>How do Our Activities Affect the Environment?</t>
        </is>
      </c>
      <c r="H89" s="2" t="inlineStr">
        <is>
          <t>State whether the following is true or false, and justify in one line: Biodegradable substances are broken down by the action of microorganisms.</t>
        </is>
      </c>
      <c r="I89" s="2" t="inlineStr">
        <is>
          <t>A. True
B. False</t>
        </is>
      </c>
      <c r="J89" s="2" t="inlineStr">
        <is>
          <t>True</t>
        </is>
      </c>
      <c r="K89" s="2" t="inlineStr">
        <is>
          <t>Bacteria and fungi decompose biodegradable material into simpler substances that re-enter the environment.</t>
        </is>
      </c>
      <c r="L89" s="2" t="n">
        <v>1</v>
      </c>
      <c r="M89" s="2" t="inlineStr">
        <is>
          <t>Science_SecP1_2026-27.pdf Page 8</t>
        </is>
      </c>
      <c r="N89" s="2" t="inlineStr">
        <is>
          <t>draft / unverified / REVIEW_PENDING</t>
        </is>
      </c>
      <c r="O89" s="3" t="inlineStr"/>
      <c r="P89" s="3" t="inlineStr"/>
      <c r="Q89" s="3" t="inlineStr"/>
      <c r="R89" s="3" t="inlineStr"/>
      <c r="S89" s="3" t="inlineStr"/>
      <c r="T89" s="3" t="inlineStr"/>
      <c r="U89" s="3" t="inlineStr"/>
    </row>
    <row r="90" ht="46" customHeight="1">
      <c r="A90" s="2" t="inlineStr">
        <is>
          <t>C10-2627-SCI-REQ045-REASS-018</t>
        </is>
      </c>
      <c r="B90" s="2" t="inlineStr">
        <is>
          <t>Science</t>
        </is>
      </c>
      <c r="C90" s="2" t="inlineStr">
        <is>
          <t>Natural Resources</t>
        </is>
      </c>
      <c r="D90" s="2" t="inlineStr">
        <is>
          <t>Our Environment</t>
        </is>
      </c>
      <c r="E90" s="2" t="inlineStr">
        <is>
          <t>REQ_SCI_2026_045, REQ_SCI_2026_046</t>
        </is>
      </c>
      <c r="F90" s="2" t="inlineStr">
        <is>
          <t>LO_13.2.1.1 — Explain ozone formation/CFC destruction and compare biodegradable vs non-biodegradable waste impacts.</t>
        </is>
      </c>
      <c r="G90" s="2" t="inlineStr">
        <is>
          <t>How do Our Activities Affect the Environment?</t>
        </is>
      </c>
      <c r="H90" s="2" t="inlineStr">
        <is>
          <t>Among the three approaches reduce, reuse and recycle, the one that saves the most energy is</t>
        </is>
      </c>
      <c r="I90" s="2" t="inlineStr">
        <is>
          <t>A. reuse, because it always requires reprocessing
B. all three consume exactly the same energy
C. reduce, because the material and the energy to process it are never used at all
D. recycle, because every material can be recycled indefinitely</t>
        </is>
      </c>
      <c r="J90" s="2" t="inlineStr">
        <is>
          <t>reduce, because the material and the energy to process it are never used at all</t>
        </is>
      </c>
      <c r="K90" s="2" t="inlineStr">
        <is>
          <t>Recycling still needs collection and reprocessing energy, so avoiding consumption in the first place saves the most.</t>
        </is>
      </c>
      <c r="L90" s="2" t="n">
        <v>2</v>
      </c>
      <c r="M90" s="2" t="inlineStr">
        <is>
          <t>Science_SecP1_2026-27.pdf Page 8</t>
        </is>
      </c>
      <c r="N90" s="2" t="inlineStr">
        <is>
          <t>draft / unverified / REVIEW_PENDING</t>
        </is>
      </c>
      <c r="O90" s="3" t="inlineStr"/>
      <c r="P90" s="3" t="inlineStr"/>
      <c r="Q90" s="3" t="inlineStr"/>
      <c r="R90" s="3" t="inlineStr"/>
      <c r="S90" s="3" t="inlineStr"/>
      <c r="T90" s="3" t="inlineStr"/>
      <c r="U90" s="3" t="inlineStr"/>
    </row>
    <row r="91" ht="46" customHeight="1">
      <c r="A91" s="2" t="inlineStr">
        <is>
          <t>C10-2627-SCI-REQ045-REASS-019</t>
        </is>
      </c>
      <c r="B91" s="2" t="inlineStr">
        <is>
          <t>Science</t>
        </is>
      </c>
      <c r="C91" s="2" t="inlineStr">
        <is>
          <t>Natural Resources</t>
        </is>
      </c>
      <c r="D91" s="2" t="inlineStr">
        <is>
          <t>Our Environment</t>
        </is>
      </c>
      <c r="E91" s="2" t="inlineStr">
        <is>
          <t>REQ_SCI_2026_045, REQ_SCI_2026_046</t>
        </is>
      </c>
      <c r="F91" s="2" t="inlineStr">
        <is>
          <t>LO_13.2.1.1 — Explain ozone formation/CFC destruction and compare biodegradable vs non-biodegradable waste impacts.</t>
        </is>
      </c>
      <c r="G91" s="2" t="inlineStr">
        <is>
          <t>How do Our Activities Affect the Environment?</t>
        </is>
      </c>
      <c r="H91" s="2" t="inlineStr">
        <is>
          <t>Waste collected from a housing block in one week:
| Type | Mass |
| Kitchen waste | 120 kg |
| Plastic | 45 kg |
| Glass and metal | 35 kg |
What percentage of the total waste is biodegradable?</t>
        </is>
      </c>
      <c r="I91" s="2" t="inlineStr">
        <is>
          <t>(constructed response)</t>
        </is>
      </c>
      <c r="J91" s="2" t="inlineStr">
        <is>
          <t>60 per cent</t>
        </is>
      </c>
      <c r="K91" s="2" t="inlineStr">
        <is>
          <t>The total is 200 kg and the biodegradable kitchen waste is 120 kg, which is 60 per cent of the total.</t>
        </is>
      </c>
      <c r="L91" s="2" t="n">
        <v>3</v>
      </c>
      <c r="M91" s="2" t="inlineStr">
        <is>
          <t>Science_SecP1_2026-27.pdf Page 8</t>
        </is>
      </c>
      <c r="N91" s="2" t="inlineStr">
        <is>
          <t>draft / unverified / REVIEW_PENDING</t>
        </is>
      </c>
      <c r="O91" s="3" t="inlineStr"/>
      <c r="P91" s="3" t="inlineStr"/>
      <c r="Q91" s="3" t="inlineStr"/>
      <c r="R91" s="3" t="inlineStr"/>
      <c r="S91" s="3" t="inlineStr"/>
      <c r="T91" s="3" t="inlineStr"/>
      <c r="U91" s="3" t="inlineStr"/>
    </row>
    <row r="92" ht="46" customHeight="1">
      <c r="A92" s="2" t="inlineStr">
        <is>
          <t>C10-2627-SCI-REQ045-REASS-020</t>
        </is>
      </c>
      <c r="B92" s="2" t="inlineStr">
        <is>
          <t>Science</t>
        </is>
      </c>
      <c r="C92" s="2" t="inlineStr">
        <is>
          <t>Natural Resources</t>
        </is>
      </c>
      <c r="D92" s="2" t="inlineStr">
        <is>
          <t>Our Environment</t>
        </is>
      </c>
      <c r="E92" s="2" t="inlineStr">
        <is>
          <t>REQ_SCI_2026_045, REQ_SCI_2026_046</t>
        </is>
      </c>
      <c r="F92" s="2" t="inlineStr">
        <is>
          <t>LO_13.2.1.1 — Explain ozone formation/CFC destruction and compare biodegradable vs non-biodegradable waste impacts.</t>
        </is>
      </c>
      <c r="G92" s="2" t="inlineStr">
        <is>
          <t>How do Our Activities Affect the Environment?</t>
        </is>
      </c>
      <c r="H92" s="2" t="inlineStr">
        <is>
          <t>Suggest two steps a municipality can take to reduce the quantity of non-biodegradable waste reaching its landfill.</t>
        </is>
      </c>
      <c r="I92" s="2" t="inlineStr">
        <is>
          <t>(constructed response)</t>
        </is>
      </c>
      <c r="J92" s="2" t="inlineStr">
        <is>
          <t>Enforce segregation at source with separate collection of dry waste, and set up recycling and buy-back arrangements for plastics, glass and metal.</t>
        </is>
      </c>
      <c r="K92" s="2" t="inlineStr">
        <is>
          <t>Separate collection keeps recyclable dry waste out of the mixed stream, and organised recycling channels return those materials to industry instead of the landfill; awareness drives and restrictions on single-use plastics reinforce both steps.</t>
        </is>
      </c>
      <c r="L92" s="2" t="n">
        <v>3</v>
      </c>
      <c r="M92" s="2" t="inlineStr">
        <is>
          <t>Science_SecP1_2026-27.pdf Page 8</t>
        </is>
      </c>
      <c r="N92" s="2" t="inlineStr">
        <is>
          <t>draft / unverified / REVIEW_PENDING</t>
        </is>
      </c>
      <c r="O92" s="3" t="inlineStr"/>
      <c r="P92" s="3" t="inlineStr"/>
      <c r="Q92" s="3" t="inlineStr"/>
      <c r="R92" s="3" t="inlineStr"/>
      <c r="S92" s="3" t="inlineStr"/>
      <c r="T92" s="3" t="inlineStr"/>
      <c r="U92" s="3" t="inlineStr"/>
    </row>
  </sheetData>
  <sheetProtection selectLockedCells="0" selectUnlockedCells="0" sheet="1" objects="0" insertRows="1" insertHyperlinks="1" autoFilter="0" scenarios="0" formatColumns="1" deleteColumns="1" insertColumns="1" pivotTables="1" deleteRows="1" formatCells="0" formatRows="1" sort="0"/>
  <autoFilter ref="A1:U92"/>
  <dataValidations count="1">
    <dataValidation sqref="O2:O92" showDropDown="0" showInputMessage="0" showErrorMessage="1" allowBlank="1" error="Choose APPROVE, REVISE or REJECT." type="list">
      <formula1>"APPROVE,REVISE,REJECT"</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40" customWidth="1" min="1" max="1"/>
    <col width="12" customWidth="1" min="2" max="2"/>
    <col width="12" customWidth="1" min="3" max="3"/>
    <col width="12" customWidth="1" min="4" max="4"/>
    <col width="12" customWidth="1" min="5" max="5"/>
  </cols>
  <sheetData>
    <row r="1">
      <c r="A1" s="4" t="inlineStr">
        <is>
          <t>Science — Class 10 CBSE 2026-27 draft review</t>
        </is>
      </c>
    </row>
    <row r="2"/>
    <row r="3">
      <c r="A3" s="5" t="inlineStr">
        <is>
          <t>Total questions</t>
        </is>
      </c>
      <c r="B3" s="5">
        <f>COUNTA(Review!A2:A92)</f>
        <v/>
      </c>
    </row>
    <row r="4">
      <c r="A4" s="5" t="inlineStr">
        <is>
          <t>Approved</t>
        </is>
      </c>
      <c r="B4" s="5">
        <f>COUNTIF(Review!O2:O92,"APPROVE")</f>
        <v/>
      </c>
    </row>
    <row r="5">
      <c r="A5" s="5" t="inlineStr">
        <is>
          <t>Revise</t>
        </is>
      </c>
      <c r="B5" s="5">
        <f>COUNTIF(Review!O2:O92,"REVISE")</f>
        <v/>
      </c>
    </row>
    <row r="6">
      <c r="A6" s="5" t="inlineStr">
        <is>
          <t>Rejected</t>
        </is>
      </c>
      <c r="B6" s="5">
        <f>COUNTIF(Review!O2:O92,"REJECT")</f>
        <v/>
      </c>
    </row>
    <row r="7">
      <c r="A7" s="5" t="inlineStr">
        <is>
          <t>Undecided</t>
        </is>
      </c>
      <c r="B7" s="5">
        <f>B3-B4-B5-B6</f>
        <v/>
      </c>
    </row>
    <row r="8"/>
    <row r="9">
      <c r="A9" s="6" t="inlineStr">
        <is>
          <t>Unit</t>
        </is>
      </c>
      <c r="B9" s="6" t="inlineStr">
        <is>
          <t>Questions</t>
        </is>
      </c>
      <c r="C9" s="6" t="inlineStr">
        <is>
          <t>Approved</t>
        </is>
      </c>
      <c r="D9" s="6" t="inlineStr">
        <is>
          <t>Revise</t>
        </is>
      </c>
      <c r="E9" s="6" t="inlineStr">
        <is>
          <t>Rejected</t>
        </is>
      </c>
    </row>
    <row r="10">
      <c r="A10" s="5" t="inlineStr">
        <is>
          <t>Effects of Current</t>
        </is>
      </c>
      <c r="B10" s="5">
        <f>COUNTIF(Review!C2:C92,A10)</f>
        <v/>
      </c>
      <c r="C10" s="5">
        <f>COUNTIFS(Review!C2:C92,A10,Review!O2:O92,"APPROVE")</f>
        <v/>
      </c>
      <c r="D10" s="5">
        <f>COUNTIFS(Review!C2:C92,A10,Review!O2:O92,"REVISE")</f>
        <v/>
      </c>
      <c r="E10" s="5">
        <f>COUNTIFS(Review!C2:C92,A10,Review!O2:O92,"REJECT")</f>
        <v/>
      </c>
    </row>
    <row r="11">
      <c r="A11" s="5" t="inlineStr">
        <is>
          <t>Natural Phenomena</t>
        </is>
      </c>
      <c r="B11" s="5">
        <f>COUNTIF(Review!C2:C92,A11)</f>
        <v/>
      </c>
      <c r="C11" s="5">
        <f>COUNTIFS(Review!C2:C92,A11,Review!O2:O92,"APPROVE")</f>
        <v/>
      </c>
      <c r="D11" s="5">
        <f>COUNTIFS(Review!C2:C92,A11,Review!O2:O92,"REVISE")</f>
        <v/>
      </c>
      <c r="E11" s="5">
        <f>COUNTIFS(Review!C2:C92,A11,Review!O2:O92,"REJECT")</f>
        <v/>
      </c>
    </row>
    <row r="12">
      <c r="A12" s="5" t="inlineStr">
        <is>
          <t>Natural Resources</t>
        </is>
      </c>
      <c r="B12" s="5">
        <f>COUNTIF(Review!C2:C92,A12)</f>
        <v/>
      </c>
      <c r="C12" s="5">
        <f>COUNTIFS(Review!C2:C92,A12,Review!O2:O92,"APPROVE")</f>
        <v/>
      </c>
      <c r="D12" s="5">
        <f>COUNTIFS(Review!C2:C92,A12,Review!O2:O92,"REVISE")</f>
        <v/>
      </c>
      <c r="E12" s="5">
        <f>COUNTIFS(Review!C2:C92,A12,Review!O2:O92,"REJECT")</f>
        <v/>
      </c>
    </row>
    <row r="13">
      <c r="A13" s="5" t="inlineStr">
        <is>
          <t>World of Living</t>
        </is>
      </c>
      <c r="B13" s="5">
        <f>COUNTIF(Review!C2:C92,A13)</f>
        <v/>
      </c>
      <c r="C13" s="5">
        <f>COUNTIFS(Review!C2:C92,A13,Review!O2:O92,"APPROVE")</f>
        <v/>
      </c>
      <c r="D13" s="5">
        <f>COUNTIFS(Review!C2:C92,A13,Review!O2:O92,"REVISE")</f>
        <v/>
      </c>
      <c r="E13" s="5">
        <f>COUNTIFS(Review!C2:C92,A13,Review!O2:O92,"REJECT")</f>
        <v/>
      </c>
    </row>
    <row r="14"/>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2026-08-31T02:59:30Z</dcterms:created>
  <dcterms:modified xmlns:dcterms="http://purl.org/dc/terms/" xmlns:xsi="http://www.w3.org/2001/XMLSchema-instance" xsi:type="dcterms:W3CDTF">2026-08-31T02:59:31Z</dcterms:modified>
</cp:coreProperties>
</file>